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M LAOS\Downloads\"/>
    </mc:Choice>
  </mc:AlternateContent>
  <xr:revisionPtr revIDLastSave="0" documentId="13_ncr:1_{9BDEE8C6-7203-45BE-9080-E76273A57953}" xr6:coauthVersionLast="47" xr6:coauthVersionMax="47" xr10:uidLastSave="{00000000-0000-0000-0000-000000000000}"/>
  <bookViews>
    <workbookView xWindow="-110" yWindow="-110" windowWidth="19420" windowHeight="11020" firstSheet="3" activeTab="6" xr2:uid="{406AC0C8-FBD1-4349-9FA3-561AE2291846}"/>
  </bookViews>
  <sheets>
    <sheet name="ປະຫວັດຂໍມູນລະອຽດ" sheetId="1" r:id="rId1"/>
    <sheet name="ບັນດາພະແນກ" sheetId="2" r:id="rId2"/>
    <sheet name="ສະມາຊິກພັກ" sheetId="3" r:id="rId3"/>
    <sheet name="ລະດັບທິດສະດີ" sheetId="4" r:id="rId4"/>
    <sheet name="ອາຍຸການເລື່ອນຊັ້ນ" sheetId="5" r:id="rId5"/>
    <sheet name="ອາຍຸເຂົ້າການປະຕິວັດ" sheetId="6" r:id="rId6"/>
    <sheet name="ພ.ງ ເພີ່ມ ແລະ ຫຼຸຸດ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7" i="6" s="1"/>
  <c r="C7" i="6"/>
  <c r="D6" i="6"/>
  <c r="E6" i="6" s="1"/>
  <c r="C6" i="6"/>
  <c r="D5" i="6"/>
  <c r="E5" i="6" s="1"/>
  <c r="C5" i="6"/>
  <c r="D4" i="6"/>
  <c r="E4" i="6" s="1"/>
  <c r="C4" i="6"/>
  <c r="D3" i="6"/>
  <c r="E3" i="6" s="1"/>
  <c r="C3" i="6"/>
  <c r="C3" i="5"/>
  <c r="E3" i="5"/>
  <c r="F3" i="5"/>
  <c r="G3" i="5"/>
  <c r="C4" i="5"/>
  <c r="E4" i="5"/>
  <c r="F4" i="5"/>
  <c r="G4" i="5"/>
  <c r="C5" i="5"/>
  <c r="E5" i="5"/>
  <c r="F5" i="5"/>
  <c r="G5" i="5"/>
  <c r="C6" i="5"/>
  <c r="E6" i="5"/>
  <c r="F6" i="5"/>
  <c r="G6" i="5"/>
  <c r="G2" i="5"/>
  <c r="F2" i="5"/>
  <c r="E2" i="5"/>
  <c r="C2" i="5"/>
  <c r="G15" i="3"/>
  <c r="G14" i="3"/>
  <c r="G12" i="3"/>
  <c r="G1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TOYOTA</author>
  </authors>
  <commentList>
    <comment ref="CI3" authorId="0" shapeId="0" xr:uid="{F320CC12-6F9B-4BA2-B2B4-2AB8C16B13E2}">
      <text>
        <r>
          <rPr>
            <b/>
            <sz val="9"/>
            <color indexed="81"/>
            <rFont val="Tahoma"/>
            <family val="2"/>
          </rPr>
          <t xml:space="preserve">ອີງຕາມຂໍ້ຕົກລົງ
</t>
        </r>
      </text>
    </comment>
    <comment ref="CF11" authorId="0" shapeId="0" xr:uid="{07C4534F-6547-45DA-9B69-2778CD05FB6F}">
      <text>
        <r>
          <rPr>
            <b/>
            <sz val="9"/>
            <color indexed="81"/>
            <rFont val="Tahoma"/>
            <family val="2"/>
          </rPr>
          <t>TOYOTA:</t>
        </r>
        <r>
          <rPr>
            <sz val="9"/>
            <color indexed="81"/>
            <rFont val="Tahoma"/>
            <family val="2"/>
          </rPr>
          <t xml:space="preserve">
99112235</t>
        </r>
      </text>
    </comment>
  </commentList>
</comments>
</file>

<file path=xl/sharedStrings.xml><?xml version="1.0" encoding="utf-8"?>
<sst xmlns="http://schemas.openxmlformats.org/spreadsheetml/2006/main" count="762" uniqueCount="340">
  <si>
    <t>ສະຖິຕິພະນັກງານຫ້ອງການ</t>
  </si>
  <si>
    <t>ບ່ອນສັງກັດ</t>
  </si>
  <si>
    <t>ຖິ່ນກຳເນີດ</t>
  </si>
  <si>
    <t>ບ່ອນຢູ່ປັດຈຸບັນ</t>
  </si>
  <si>
    <t>ລະດັບວິຊາສະເພາະ ປກສ</t>
  </si>
  <si>
    <t>ສາຍອື່ນໆ</t>
  </si>
  <si>
    <t>ລະດັບທິດສະດີການເມືອງ</t>
  </si>
  <si>
    <t>ຂໍ້ມູນຂອງພໍ່</t>
  </si>
  <si>
    <t>ຂໍ້ມູນຂອງແມ່</t>
  </si>
  <si>
    <t>ສາຍພົວພັນຄອບຄົວ</t>
  </si>
  <si>
    <t>ລ/ດ</t>
  </si>
  <si>
    <t>ກົມກອງຂື້ນກັບ</t>
  </si>
  <si>
    <t>ກົມ / ຫ້ອງ</t>
  </si>
  <si>
    <t>ພະແນກ</t>
  </si>
  <si>
    <t>ໜ່ວຍງານ</t>
  </si>
  <si>
    <t>ເລກລະຫັດບັດປະຈຳຕົວຂອງນາຍ ແລະ ພົນຕໍາຫຼວດ</t>
  </si>
  <si>
    <t>ຊື່ ແລະ ນາມສະກຸນ</t>
  </si>
  <si>
    <t>ຊັ້ນ</t>
  </si>
  <si>
    <t>ຊື່ ຫຼີ້ນ</t>
  </si>
  <si>
    <t>ເພດ</t>
  </si>
  <si>
    <t>ວັນເດືອນປີເກີດ</t>
  </si>
  <si>
    <t>ອາຍຸ</t>
  </si>
  <si>
    <t>ວັນເດືອນປີເລື່ອນຊັ້ນ</t>
  </si>
  <si>
    <t>ເລກທີ</t>
  </si>
  <si>
    <t>ບ້ານເກີດ</t>
  </si>
  <si>
    <t>ເມືອງ</t>
  </si>
  <si>
    <t>ແຂວງ</t>
  </si>
  <si>
    <t>ບ້ານ</t>
  </si>
  <si>
    <t>ເຮືອນເລກທີ</t>
  </si>
  <si>
    <t>ຖະໜົນ</t>
  </si>
  <si>
    <t>ຮ່ອມ</t>
  </si>
  <si>
    <t>ເລກທີບັດປະຈຳຕົວ</t>
  </si>
  <si>
    <t>ຊົນເຜົ່າ</t>
  </si>
  <si>
    <t>ສາສະໜາ</t>
  </si>
  <si>
    <t>ເລກທີບັດຢັ້ງຢືນຊັ້ນ</t>
  </si>
  <si>
    <t>ວັນເດືອນປີເຂົ້າການປະຕິວັດ</t>
  </si>
  <si>
    <t>ວັນເດືອນປີເຂົ້າຕຳຫຼວດ</t>
  </si>
  <si>
    <t>ວັນເດືອນປີເຂົ້າທະຫານ</t>
  </si>
  <si>
    <t>ວັນເດືອນປີເຂົ້າພັກສຳຮອງ</t>
  </si>
  <si>
    <t>ເລກທີເຂົ້າພັກສໍາຮອງ</t>
  </si>
  <si>
    <t>ວັນເດືອນປີເຂົ້າພັກສົມບູນ</t>
  </si>
  <si>
    <t>ເລກທີເຂົ້າພັກສົມບູນ</t>
  </si>
  <si>
    <t>ວັນເດືອນປີເຂົ້າຊາວໜຸ່ມ</t>
  </si>
  <si>
    <t>ວັນເດືອນປີເຂົ້າແມ່ຍິງ</t>
  </si>
  <si>
    <t>ວັນເດືອນປີເຂົ້າກຳມະບານ</t>
  </si>
  <si>
    <t>ຕຳແໜ່ງເບື້ອງພັກ</t>
  </si>
  <si>
    <t>ຕຳແໜ່ງເບື້ອງລັດ</t>
  </si>
  <si>
    <t>ລະດັບວັດທະນະທຳ</t>
  </si>
  <si>
    <t>ພາສາຕ່າງປະເທດ</t>
  </si>
  <si>
    <t>ລະດັບ</t>
  </si>
  <si>
    <t>ພາຍໃນ ຫຼື ຕ່າງປະເທດ</t>
  </si>
  <si>
    <t>ຂະແໜງຮຽນ</t>
  </si>
  <si>
    <t>ລະບົບ</t>
  </si>
  <si>
    <t>ໂຮງຮຽນ</t>
  </si>
  <si>
    <t>ປີຮຽນ</t>
  </si>
  <si>
    <t>ປີໃດຫາປີໃດ</t>
  </si>
  <si>
    <t>ຊື່ ແລະ ນາມສະກຸນພໍ່</t>
  </si>
  <si>
    <t>ບ້ານຢູ່ປັດຈຸບັນ</t>
  </si>
  <si>
    <t>ອາຊີບ</t>
  </si>
  <si>
    <t>ບ່ອນປະຈຳການ</t>
  </si>
  <si>
    <t>ຊື່ ແລະ ນາມສະກຸນແມ່</t>
  </si>
  <si>
    <t>ຊື່ ແລະ ນາມສະກຸນຜົວ ຫຼື ເມຍ</t>
  </si>
  <si>
    <t>ມີລູກຈັກຄົນ</t>
  </si>
  <si>
    <t>ເບີໂທ</t>
  </si>
  <si>
    <t>ໝາຍເຫດ</t>
  </si>
  <si>
    <t>ປກສ / ປົກຄອງ</t>
  </si>
  <si>
    <t>ວດປ
ຍົກຍ້າຍມາຢູ່ຫ້ອງການ</t>
  </si>
  <si>
    <t>ພະແນກ ແລະ ສູນ</t>
  </si>
  <si>
    <t>ວດປ ຈົບນາຍສິບ</t>
  </si>
  <si>
    <t>ກົມໃຫຍ່ການເມືອງ</t>
  </si>
  <si>
    <t>ຫ້ອງການ</t>
  </si>
  <si>
    <t>1 ຄະນະຫ້ອງການ</t>
  </si>
  <si>
    <t>ພົຕ</t>
  </si>
  <si>
    <t>ບຸນຊູ</t>
  </si>
  <si>
    <t>ຊາຍ</t>
  </si>
  <si>
    <t>63 ປີ</t>
  </si>
  <si>
    <t>ໄຮຢ່ອນ</t>
  </si>
  <si>
    <t>ທຸລະຄົມ</t>
  </si>
  <si>
    <t>ວຽງຈັນ</t>
  </si>
  <si>
    <t>ໂນນບໍ່ແກ້ວ</t>
  </si>
  <si>
    <t>ໄຊທານີ</t>
  </si>
  <si>
    <t>ນະຄອນຫຼວງ</t>
  </si>
  <si>
    <t>ລລ</t>
  </si>
  <si>
    <t>ພຸດ</t>
  </si>
  <si>
    <t>ບໍ່ມີ</t>
  </si>
  <si>
    <t>ຄະນະພັກກະຊວງ</t>
  </si>
  <si>
    <t>ຫົວໜ້າກົມໃຫຍ່ການເມືອງ</t>
  </si>
  <si>
    <t>ອ 3</t>
  </si>
  <si>
    <t>ຫວຽດນາມ</t>
  </si>
  <si>
    <t>ປອ</t>
  </si>
  <si>
    <t>ຕ່າງປະເທດ</t>
  </si>
  <si>
    <t>ສັນຕິບານ</t>
  </si>
  <si>
    <t>ກໍ່ສ້າງ</t>
  </si>
  <si>
    <t>ວິທະຍາຄານສັນຕິບານ ສສ ຫວຽດນາມ</t>
  </si>
  <si>
    <t>03 ປີ</t>
  </si>
  <si>
    <t>2008 - 2010</t>
  </si>
  <si>
    <t>ຂັ້ນສູງ</t>
  </si>
  <si>
    <t>ການເມືອງການປົກຄອງ</t>
  </si>
  <si>
    <t>ບໍາລຸງ</t>
  </si>
  <si>
    <t>ສະຖາບັນການເມືອງທ່າງ່ອນ</t>
  </si>
  <si>
    <t>06 ເດືອນ</t>
  </si>
  <si>
    <t>ຕ</t>
  </si>
  <si>
    <t>ຕິ່ງຄໍາ</t>
  </si>
  <si>
    <t>ທອງສະຫວັນ ແກ້ວມະນີ</t>
  </si>
  <si>
    <t>ແມ່ເຮືອນ</t>
  </si>
  <si>
    <t>ພັອ</t>
  </si>
  <si>
    <t>ໄຊເສດຖາ</t>
  </si>
  <si>
    <t>ຈັນທະບູລີ</t>
  </si>
  <si>
    <t>ມ 6</t>
  </si>
  <si>
    <t>ຫວຽດນາມ, ອັງກິດ</t>
  </si>
  <si>
    <t>ຄູ</t>
  </si>
  <si>
    <t>ປົກຄອງ</t>
  </si>
  <si>
    <t>ແປກ</t>
  </si>
  <si>
    <t>ຊຽງຂວາງ</t>
  </si>
  <si>
    <t>02</t>
  </si>
  <si>
    <t>ອັງກິດ</t>
  </si>
  <si>
    <t>ປຕ</t>
  </si>
  <si>
    <t>ພາຍໃນ</t>
  </si>
  <si>
    <t>5 ປີ</t>
  </si>
  <si>
    <t>ທິດສະດີການເມືອງ</t>
  </si>
  <si>
    <t>5 ເດືອນ</t>
  </si>
  <si>
    <t>ປະຊາຊົນ</t>
  </si>
  <si>
    <t>ຍິງ</t>
  </si>
  <si>
    <t>ບຸນໃຕ້</t>
  </si>
  <si>
    <t>ຜົ້ງສາລີ</t>
  </si>
  <si>
    <t>2 ປີ</t>
  </si>
  <si>
    <t>2010 - 2011</t>
  </si>
  <si>
    <t>ການເງິນ-ການທະນາຄານ</t>
  </si>
  <si>
    <t>ພັທ</t>
  </si>
  <si>
    <t>41 ປີ</t>
  </si>
  <si>
    <t>ປທ</t>
  </si>
  <si>
    <t>2022 - 2024</t>
  </si>
  <si>
    <t>ຄໍາຮຸ່ງ</t>
  </si>
  <si>
    <t>4 ບໍລິຫານ-ຈັດຕັ້ງ</t>
  </si>
  <si>
    <t>0000775</t>
  </si>
  <si>
    <t>ນົງ</t>
  </si>
  <si>
    <t>46 ປີ</t>
  </si>
  <si>
    <t>ໂນນສະຫວັນ</t>
  </si>
  <si>
    <t>ຊະນະສົມບູນ</t>
  </si>
  <si>
    <t>ຈໍາປາສັກ</t>
  </si>
  <si>
    <t>ຫົວນາ</t>
  </si>
  <si>
    <t>ນາຊາຍທອງ</t>
  </si>
  <si>
    <t>01</t>
  </si>
  <si>
    <t>35620/ກພງ</t>
  </si>
  <si>
    <t>ຮອງປະທານກວດກາພັກ</t>
  </si>
  <si>
    <t>ຫົວໜ້າພະແນກ</t>
  </si>
  <si>
    <t>ຄະດີເສດຖະກິດ</t>
  </si>
  <si>
    <t>ວິທະຍາຄານ ປກສ ແຫ່ງຊາດ</t>
  </si>
  <si>
    <t>2005-2011</t>
  </si>
  <si>
    <t>ຄໍາມາກ ຈັນທະວົງ</t>
  </si>
  <si>
    <t>ນາທະວັງ</t>
  </si>
  <si>
    <t>ພີນ</t>
  </si>
  <si>
    <t>ສະຫວັນນະເຂດ</t>
  </si>
  <si>
    <t>ໄຄສີ ຈັນທະວົງ</t>
  </si>
  <si>
    <t>ໂນນບົກ</t>
  </si>
  <si>
    <t>ຄົງເຊໂດນ</t>
  </si>
  <si>
    <t>ສາລະວັນ</t>
  </si>
  <si>
    <t>ນ. ຄໍາພູວັນ ພິມມະສອນ</t>
  </si>
  <si>
    <t>ຕໍາຫຼວດ</t>
  </si>
  <si>
    <t>2 ຄົ້ນຄວ້າສັງລວມ-ພົວພັນຕ່າງປະເທດ</t>
  </si>
  <si>
    <t>ແສງ</t>
  </si>
  <si>
    <t>39 ປີ</t>
  </si>
  <si>
    <t>ຂົວຫຼວງ</t>
  </si>
  <si>
    <t>600</t>
  </si>
  <si>
    <t>ຫົວໜ້າຈຸພັກ</t>
  </si>
  <si>
    <t>ກົດໝາຍດໍາເນີນຄະດີອາຍາ</t>
  </si>
  <si>
    <t>ເຊື່ອມຕໍ່</t>
  </si>
  <si>
    <t>ວິທະຍາຄານສັນຕິບານປະຊາຊົນ</t>
  </si>
  <si>
    <t>ການຄຸ້ມຄອງຊັບພະຍາກອນວັດທະນະທໍາ</t>
  </si>
  <si>
    <t>ມະຫາວິທະຍາໄລແຫ່ງຊາດ</t>
  </si>
  <si>
    <t>ນໍ່ແກ້ວ ແດງເພັງ</t>
  </si>
  <si>
    <t>ວຽງແກ້ວ</t>
  </si>
  <si>
    <t>ຫຼວງພະບາງ</t>
  </si>
  <si>
    <t>ທອງດໍາ ແດງເພັງ</t>
  </si>
  <si>
    <t>ດາວທຽມວອນ ວິລະສານ</t>
  </si>
  <si>
    <t>ພະນັກງານທະນາຄານການຄ້າ</t>
  </si>
  <si>
    <t>ສາຂາໄຊເສດຖາ</t>
  </si>
  <si>
    <t>3 ຄຸ້ມຄອງເອກະສານແລະຂາເຂົ້າ-ຂາອອກ</t>
  </si>
  <si>
    <t>ໂພນແຍງເໜືອ</t>
  </si>
  <si>
    <t>ແກ້ວອຸດົມ</t>
  </si>
  <si>
    <t>ວັດໄຕນ້ອຍ</t>
  </si>
  <si>
    <t>ສີໂຄດຕະບອງ</t>
  </si>
  <si>
    <t>02335/ກພງ</t>
  </si>
  <si>
    <t>ຂໍ້ມູນຂ່າວສານ</t>
  </si>
  <si>
    <t>6 ປີ</t>
  </si>
  <si>
    <t>2004 - 2010</t>
  </si>
  <si>
    <t>ແກ່ນຄໍາ</t>
  </si>
  <si>
    <t>ຄໍານ້ອຍ ດວງຈໍາປາ</t>
  </si>
  <si>
    <t>ວັດໄຕນ້ອຍທົ່ງ</t>
  </si>
  <si>
    <t>ຫ້ອງວ່າການກະຊວງ</t>
  </si>
  <si>
    <t>5 ການເງິນ</t>
  </si>
  <si>
    <t>0000767</t>
  </si>
  <si>
    <t>52 ປີ</t>
  </si>
  <si>
    <t>ບຸນເໜືອ</t>
  </si>
  <si>
    <t>ໜອງແວງ</t>
  </si>
  <si>
    <t>ຫາດຊາຍຟອງ</t>
  </si>
  <si>
    <t>210</t>
  </si>
  <si>
    <t>ທ່າເດື່ອ</t>
  </si>
  <si>
    <t>02327/ກພງ</t>
  </si>
  <si>
    <t>ວິທະຍາໄລ ເສດຖາ ບໍລິຫານທຸລະກິດ</t>
  </si>
  <si>
    <t>2012 - 2013</t>
  </si>
  <si>
    <t>ຄໍາໝັ້ນ ຈັນແກ້ວວິໄລ</t>
  </si>
  <si>
    <t>ເຖົາແກ້ວ</t>
  </si>
  <si>
    <t>ທອງວັນ ພົງສະຫວັນ</t>
  </si>
  <si>
    <t>ກົມປາບປາມຢາເສບຕິດ</t>
  </si>
  <si>
    <t>6 ຄຸ້ມຄອງຊັບສິນ,ກໍ່ສ້າງ-ສ້ອມແປງ ແລະ ເຕັກນິກ</t>
  </si>
  <si>
    <t>ນົນ</t>
  </si>
  <si>
    <t>48 ປີ</t>
  </si>
  <si>
    <t>ອາກາດ</t>
  </si>
  <si>
    <t>ຈັນສະຫວ່າງ</t>
  </si>
  <si>
    <t>ຊກ</t>
  </si>
  <si>
    <t>ວິຊາສະເພາະ ປກສ ລະບົບ 03 ເດືອນ</t>
  </si>
  <si>
    <t>ໂຮງຮຽນ ປກສ ຊັ້ນສູງເລກII</t>
  </si>
  <si>
    <t>03 ເດືອນ</t>
  </si>
  <si>
    <t>ກົດໝາຍແພ່ງ</t>
  </si>
  <si>
    <t>2015 - 2016</t>
  </si>
  <si>
    <t>ສູນທອນ</t>
  </si>
  <si>
    <t>ແນມ</t>
  </si>
  <si>
    <t>ຄໍາຫຼ້າ ພັນວົງສາ</t>
  </si>
  <si>
    <t>7 ການຜະລິດ</t>
  </si>
  <si>
    <t>51 ປີ</t>
  </si>
  <si>
    <t>ປາກເໝືອຍ</t>
  </si>
  <si>
    <t>ໂພນສະຫວ່າງ</t>
  </si>
  <si>
    <t>ສີສັດຕະນາກ</t>
  </si>
  <si>
    <t>034</t>
  </si>
  <si>
    <t>ບໍໂອ</t>
  </si>
  <si>
    <t>01-08014800</t>
  </si>
  <si>
    <t>ກຶມມຸ</t>
  </si>
  <si>
    <t>36912/ກພງ</t>
  </si>
  <si>
    <t>2019 - 2021</t>
  </si>
  <si>
    <t>ໂຮງຮຽນທິດສະດີການເມືອງ ປກສ</t>
  </si>
  <si>
    <t>ຄໍາພັນ</t>
  </si>
  <si>
    <t>ຮວງ</t>
  </si>
  <si>
    <t>ນ. ອຸດົມ ລັດສະໝີ</t>
  </si>
  <si>
    <t>ຄ້າຂາຍ</t>
  </si>
  <si>
    <t>8 ສູນຮັບຕອນ ແລະ ຝຶກອົບຮົມວິຊາສະເພາະ</t>
  </si>
  <si>
    <t>0000763</t>
  </si>
  <si>
    <t>ຫົວຂົວ</t>
  </si>
  <si>
    <t>130</t>
  </si>
  <si>
    <t>01-18010948</t>
  </si>
  <si>
    <t>02345/ຈຕພງ</t>
  </si>
  <si>
    <t>ຫົວໜ້າສູນ</t>
  </si>
  <si>
    <t>ກໍ່ສ້າງພັກ</t>
  </si>
  <si>
    <t>ວິທະຍາຄານປ້ອງກັນຊາດ ໄກສອນ ພົມວິຫານ</t>
  </si>
  <si>
    <t>ສຸດສະຫງວນ</t>
  </si>
  <si>
    <t>ສົມສະນຸກ</t>
  </si>
  <si>
    <t>ທອງດໍາ ອິນທະວົງ</t>
  </si>
  <si>
    <t>ບ້ານ ຊໍ້າເຄ້</t>
  </si>
  <si>
    <t>ນ. ມຸກສາຄອນ ຄຳດວງສີ</t>
  </si>
  <si>
    <t>ທະຫານ</t>
  </si>
  <si>
    <t>ພັຕ</t>
  </si>
  <si>
    <t>45 ວັນ</t>
  </si>
  <si>
    <t>ບໍານານ</t>
  </si>
  <si>
    <t>ຮອ</t>
  </si>
  <si>
    <t>ມ 7</t>
  </si>
  <si>
    <t>01 ປີ 06 ເດືອນ</t>
  </si>
  <si>
    <t>ສັນຕິບານ ປະຊາຊົນ ສສ ຫວຽດນາມ</t>
  </si>
  <si>
    <t>ແນວທາງມາກ-ເລນິນ ຄວາມຄິດໂຮ່ຈີມິນ</t>
  </si>
  <si>
    <t>ຮທ</t>
  </si>
  <si>
    <t>ປກສ</t>
  </si>
  <si>
    <t>ການເງິນ</t>
  </si>
  <si>
    <t>ຊ່ວຍວຽກ</t>
  </si>
  <si>
    <t>ສທ</t>
  </si>
  <si>
    <t>ນ. ຈັນສະໝອນ ພາວົງສາ</t>
  </si>
  <si>
    <t>ນ. ພອນທິບ ລາວມາ</t>
  </si>
  <si>
    <t>ນ. ນັນທະໄຊ ພະໄຊສົມບັດ</t>
  </si>
  <si>
    <t>ນ. ຄອນສະຫວັນ ແກ້ວອຸ່ນເຮືອງ</t>
  </si>
  <si>
    <t>ຊັ້ນII</t>
  </si>
  <si>
    <t>ທ່ານ......</t>
  </si>
  <si>
    <t>ສາທາລະນະລັດ ປະຊາທິປະໄຕ ປະຊາຊົນລາວ</t>
  </si>
  <si>
    <t>ສັນຕິພາບ ເອກະລາດ ປະຊາທິປະໄຕ ເອກະພາບ ວັດທະນະຖາວອນ</t>
  </si>
  <si>
    <t>ກົມໃຫຍ່ການເມືອງປ້ອງກັນຄວາມສະຫງົບ</t>
  </si>
  <si>
    <t xml:space="preserve">ຫ້ອງການ  </t>
  </si>
  <si>
    <t>ເລກທີ....................../ຫກ</t>
  </si>
  <si>
    <t>ນະຄອນຫຼວງວຽງຈັນ, ວັນທີ......................... 2025</t>
  </si>
  <si>
    <r>
      <t xml:space="preserve">ສະຖິຕິພະນັກງານຫ້ອງການກົມໃຫຍ່ການເມືອງ ປກສ ປະຈໍາເດືອນ ເມສາ </t>
    </r>
    <r>
      <rPr>
        <b/>
        <sz val="14"/>
        <rFont val="Times New Roman"/>
        <family val="1"/>
      </rPr>
      <t>2025</t>
    </r>
  </si>
  <si>
    <t>ຄະນະຫ້ອງການ, ພະແນກ</t>
  </si>
  <si>
    <t>ຊັ້ນປະຈຸບັນ</t>
  </si>
  <si>
    <t>ວ.ດ.ປເກີດ</t>
  </si>
  <si>
    <t>ຊົນ
ເຜົ່າ</t>
  </si>
  <si>
    <t>ສາ
ສະໜາ</t>
  </si>
  <si>
    <t>ແຂວງ
ເກີດ</t>
  </si>
  <si>
    <t>ບ້ານຢູ່ປະຈຸບັນ</t>
  </si>
  <si>
    <t>ວ.ດ.ປ ເຂົ້າ</t>
  </si>
  <si>
    <t>ໜ້າທີຮັບພິຊອບ</t>
  </si>
  <si>
    <t>ລະດັບວັດ
ທະນາທຳ</t>
  </si>
  <si>
    <t>ລະດັບ
ທິດສະດີ</t>
  </si>
  <si>
    <t>ລະດັບວິ
ຊາສະເພາະ</t>
  </si>
  <si>
    <t>ວ.ດ.ປ 
ເລືອນຊັ້ນ</t>
  </si>
  <si>
    <t>ຕຳຫຼວດ</t>
  </si>
  <si>
    <t>ຊາວໜຸ່ມ</t>
  </si>
  <si>
    <t>ແມ່ຍິງ</t>
  </si>
  <si>
    <t>ສຳຮອງ</t>
  </si>
  <si>
    <t>ສົມບຸນ</t>
  </si>
  <si>
    <t>ຕຳແໜ່ງລັດ</t>
  </si>
  <si>
    <t>ຕຳແໜ່ງພັກ</t>
  </si>
  <si>
    <t>ຄະນະຫ້ອງການ</t>
  </si>
  <si>
    <t>ຄົ້ນຄວ້າສັງລວມ-ພົວພັນຕ່າງປະເທດ</t>
  </si>
  <si>
    <t>ສີສຸພັນ ຫຼ້າບຸນທັນ</t>
  </si>
  <si>
    <t>ວັດທະນາ ພົມມະວົງສາ</t>
  </si>
  <si>
    <t>ຄຸ້ມຄອງເອກະສານແລະຂາເຂົ້າ-ຂາອອກ</t>
  </si>
  <si>
    <t>ປົກຄອງ ລົງຮາກຖານ</t>
  </si>
  <si>
    <t>ບໍລິຫານ-ຈັດຕັ້ງ</t>
  </si>
  <si>
    <t>ປທ ສີປະເສີດ ທິບພະວົງ</t>
  </si>
  <si>
    <t>ຄຸ້ມຄອງຊັບສິນ,ກໍ່ສ້າງ-ສ້ອມແປງ ແລະ ເຕັກນິກ</t>
  </si>
  <si>
    <t>ປົກຄອງ ໄປຮຽນຕໍ່ ປ/ອ</t>
  </si>
  <si>
    <t>ການຜະລິດ</t>
  </si>
  <si>
    <t>ສູນຮັບຕອນ ແລະ ຝຶກອົບຮົມວິຊາສະເພາະ</t>
  </si>
  <si>
    <t>ນິກອນ ພະລະຄອນ</t>
  </si>
  <si>
    <t>ໂຕ່ແນັດ ບົວສີ</t>
  </si>
  <si>
    <t>ໜູນີ ສຸກອາລຸນ</t>
  </si>
  <si>
    <t/>
  </si>
  <si>
    <t>ທ່ານ.....</t>
  </si>
  <si>
    <t>ຄະນະ ແລະ ພະແນກ</t>
  </si>
  <si>
    <t>ສໍາຮອງ</t>
  </si>
  <si>
    <t>ສົມບູນ</t>
  </si>
  <si>
    <t>ເຂົ້າຮ່ວມ</t>
  </si>
  <si>
    <t>ສະມາຊິິກສໍາຮອງ</t>
  </si>
  <si>
    <t>ທັງໝົດ</t>
  </si>
  <si>
    <t>ທ່ານ........</t>
  </si>
  <si>
    <t>ອາຍຸຊັ້ນ</t>
  </si>
  <si>
    <t>ກໍານົດອາຍຸການເລື່ອນຊັ້ນ</t>
  </si>
  <si>
    <t>ວດປ ຍົກຍ້າຍມາຢູ່ຫ້ອງການ</t>
  </si>
  <si>
    <t>ລາຍຊື່ພະນັກງານ ຫ້ອງການກົມໃຫຍ່ການເມືອງ ອາຍຸການປະຕິວັດ 10 ປີ ຂຶ້ນໄປ ອີງຕມວັນທີ 05/04/2026</t>
  </si>
  <si>
    <t>ວດປ ເຂົ້າຕໍາຫຼວດ</t>
  </si>
  <si>
    <t>ອາຍຸການ ເຂົ້າຕໍາຫຼວດ</t>
  </si>
  <si>
    <r>
      <t xml:space="preserve">ນະຄອນຫຼວງວຽງຈັນ, ວັນທີ......................... </t>
    </r>
    <r>
      <rPr>
        <sz val="12"/>
        <rFont val="Times New Roman"/>
        <family val="1"/>
      </rPr>
      <t>2025</t>
    </r>
  </si>
  <si>
    <r>
      <t xml:space="preserve">ໃບແຈ້ງເພີ່ມ-ຫຼຸດພະນັກງານ ປະຈໍາເດືອນ ພຶດສະພາ </t>
    </r>
    <r>
      <rPr>
        <b/>
        <sz val="14"/>
        <color theme="1"/>
        <rFont val="Times New Roman"/>
        <family val="1"/>
      </rPr>
      <t>2025</t>
    </r>
  </si>
  <si>
    <t>1. ແຈ້ງເພີ່ມພະນັກງານ</t>
  </si>
  <si>
    <t>ສາຍຮຽນວິຊາສະເພາະ</t>
  </si>
  <si>
    <t xml:space="preserve">ແມ່ຍິງ </t>
  </si>
  <si>
    <t>ນ. ແກ້ວສົມສີ ວິລະໄຊ</t>
  </si>
  <si>
    <t>2. ແຈ້ງຫຼຸດພະນັກງານ</t>
  </si>
  <si>
    <t>ໄປສຶກສາຕໍ່</t>
  </si>
  <si>
    <t>ຮຽນຈົບມາ</t>
  </si>
  <si>
    <t>ຍົກຍ້າຍມາ</t>
  </si>
  <si>
    <t>ການເພີ່ມ</t>
  </si>
  <si>
    <t>ຍົກຍ້າຍໄປ</t>
  </si>
  <si>
    <t xml:space="preserve">ຂໍຕົກລົງ </t>
  </si>
  <si>
    <t>ລົງວັນທີ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</si>
</sst>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\ 0000"/>
    <numFmt numFmtId="165" formatCode="000"/>
    <numFmt numFmtId="166" formatCode="00000000"/>
  </numFmts>
  <fonts count="26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Phetsarath OT"/>
    </font>
    <font>
      <sz val="11"/>
      <color theme="1"/>
      <name val="Phetsarath OT"/>
    </font>
    <font>
      <sz val="11"/>
      <name val="Phetsarath OT"/>
    </font>
    <font>
      <sz val="11"/>
      <color theme="1"/>
      <name val="Times New Roman"/>
      <family val="1"/>
    </font>
    <font>
      <sz val="11"/>
      <color rgb="FFFF0000"/>
      <name val="Phetsarath O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Phetsarath OT"/>
    </font>
    <font>
      <b/>
      <sz val="8"/>
      <name val="Phetsarath OT"/>
    </font>
    <font>
      <b/>
      <sz val="12"/>
      <name val="Phetsarath OT"/>
    </font>
    <font>
      <b/>
      <sz val="14"/>
      <name val="Phetsarath OT"/>
    </font>
    <font>
      <b/>
      <sz val="14"/>
      <name val="Times New Roman"/>
      <family val="1"/>
    </font>
    <font>
      <sz val="8"/>
      <name val="Times New Roman"/>
      <family val="1"/>
    </font>
    <font>
      <b/>
      <u/>
      <sz val="8"/>
      <name val="Phetsarath OT"/>
    </font>
    <font>
      <sz val="8"/>
      <color theme="1"/>
      <name val="Phetsarath OT"/>
    </font>
    <font>
      <sz val="8"/>
      <name val="Phetsarath OT"/>
    </font>
    <font>
      <b/>
      <sz val="11"/>
      <color theme="1"/>
      <name val="Phetsarath OT"/>
    </font>
    <font>
      <sz val="11"/>
      <name val="Calibri"/>
      <family val="2"/>
      <scheme val="minor"/>
    </font>
    <font>
      <sz val="12"/>
      <color rgb="FFFF0000"/>
      <name val="Phetsarath OT"/>
    </font>
    <font>
      <sz val="11"/>
      <color rgb="FFFF0000"/>
      <name val="Calibri"/>
      <family val="2"/>
      <scheme val="minor"/>
    </font>
    <font>
      <sz val="12"/>
      <color theme="1"/>
      <name val="Phetsarath OT"/>
    </font>
    <font>
      <sz val="12"/>
      <name val="Times New Roman"/>
      <family val="1"/>
    </font>
    <font>
      <b/>
      <sz val="14"/>
      <color theme="1"/>
      <name val="Phetsarath OT"/>
    </font>
    <font>
      <b/>
      <sz val="14"/>
      <color theme="1"/>
      <name val="Times New Roman"/>
      <family val="1"/>
    </font>
    <font>
      <b/>
      <sz val="8"/>
      <color theme="1"/>
      <name val="Phetsarath OT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4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3" fillId="0" borderId="0" xfId="0" applyFont="1" applyAlignment="1">
      <alignment vertical="center" wrapText="1"/>
    </xf>
    <xf numFmtId="0" fontId="8" fillId="3" borderId="0" xfId="0" applyFont="1" applyFill="1"/>
    <xf numFmtId="0" fontId="8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8" fillId="0" borderId="0" xfId="0" applyFont="1"/>
    <xf numFmtId="0" fontId="8" fillId="3" borderId="0" xfId="0" applyFont="1" applyFill="1" applyAlignment="1">
      <alignment horizontal="center"/>
    </xf>
    <xf numFmtId="0" fontId="3" fillId="3" borderId="0" xfId="0" applyFont="1" applyFill="1"/>
    <xf numFmtId="0" fontId="3" fillId="0" borderId="0" xfId="0" applyFont="1"/>
    <xf numFmtId="0" fontId="3" fillId="3" borderId="0" xfId="0" applyFont="1" applyFill="1" applyAlignment="1">
      <alignment horizontal="center"/>
    </xf>
    <xf numFmtId="0" fontId="10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8" fillId="3" borderId="0" xfId="0" applyFont="1" applyFill="1" applyAlignment="1">
      <alignment horizontal="right"/>
    </xf>
    <xf numFmtId="0" fontId="8" fillId="0" borderId="0" xfId="0" applyFont="1" applyAlignment="1">
      <alignment horizontal="left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0" fontId="11" fillId="3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6" fillId="0" borderId="1" xfId="0" applyFont="1" applyBorder="1" applyAlignment="1" applyProtection="1">
      <alignment horizontal="center" vertical="center"/>
      <protection locked="0"/>
    </xf>
    <xf numFmtId="14" fontId="13" fillId="0" borderId="1" xfId="0" applyNumberFormat="1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164" fontId="13" fillId="0" borderId="1" xfId="0" applyNumberFormat="1" applyFont="1" applyBorder="1" applyAlignment="1" applyProtection="1">
      <alignment horizontal="center" vertical="center"/>
      <protection locked="0"/>
    </xf>
    <xf numFmtId="0" fontId="16" fillId="3" borderId="0" xfId="0" applyFont="1" applyFill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14" fontId="10" fillId="0" borderId="0" xfId="0" applyNumberFormat="1" applyFont="1" applyAlignment="1">
      <alignment horizontal="center" vertical="center"/>
    </xf>
    <xf numFmtId="0" fontId="18" fillId="0" borderId="0" xfId="0" applyFont="1"/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14" fontId="19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/>
    </xf>
    <xf numFmtId="0" fontId="20" fillId="0" borderId="0" xfId="0" applyFont="1"/>
    <xf numFmtId="0" fontId="5" fillId="0" borderId="1" xfId="0" applyFont="1" applyBorder="1"/>
    <xf numFmtId="0" fontId="18" fillId="0" borderId="0" xfId="0" applyFon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2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14" fontId="13" fillId="3" borderId="0" xfId="0" applyNumberFormat="1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164" fontId="13" fillId="3" borderId="0" xfId="0" applyNumberFormat="1" applyFont="1" applyFill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395470</xdr:colOff>
      <xdr:row>0</xdr:row>
      <xdr:rowOff>164807</xdr:rowOff>
    </xdr:from>
    <xdr:ext cx="747537" cy="720000"/>
    <xdr:pic>
      <xdr:nvPicPr>
        <xdr:cNvPr id="2" name="Picture 1">
          <a:extLst>
            <a:ext uri="{FF2B5EF4-FFF2-40B4-BE49-F238E27FC236}">
              <a16:creationId xmlns:a16="http://schemas.microsoft.com/office/drawing/2014/main" id="{28FE5166-592D-4940-A5F1-CED292A472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357"/>
        <a:stretch/>
      </xdr:blipFill>
      <xdr:spPr>
        <a:xfrm>
          <a:off x="7380470" y="164807"/>
          <a:ext cx="747537" cy="720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281609</xdr:colOff>
      <xdr:row>0</xdr:row>
      <xdr:rowOff>124238</xdr:rowOff>
    </xdr:from>
    <xdr:to>
      <xdr:col>12</xdr:col>
      <xdr:colOff>291426</xdr:colOff>
      <xdr:row>3</xdr:row>
      <xdr:rowOff>199299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97703-6AD4-40D7-B791-C438F1313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88809" y="124238"/>
          <a:ext cx="828967" cy="7291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713;&#3771;&#3745;&#3779;&#3755;&#3725;&#3784;&#3713;&#3762;&#3737;&#3776;&#3745;&#3767;&#3757;&#3719;/&#3739;&#3760;&#3755;&#3751;&#3761;&#3732;&#3742;&#3760;&#3737;&#3761;&#3713;&#3719;&#3762;&#3737;/&#3754;&#3760;&#3734;&#3764;&#3733;&#3764;&#3742;&#3761;&#3713;&#3737;&#3761;&#3713;&#3719;&#3762;&#3737;&#3755;&#3785;&#3757;&#3719;&#3713;&#3762;&#3737;%20&#3713;&#3771;&#3745;&#3779;&#3755;&#3725;&#3784;&#3713;&#3762;&#3737;&#3776;&#3745;&#3767;&#3757;&#3719;%20&#3776;&#3732;&#3767;&#3757;&#3737;%2005(Auto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ສະຖິຕິພະນັກງານຫ້ອງການ"/>
      <sheetName val="ລາຍຊື່ພະນັກງານແຕ່ລະພະແນກ"/>
      <sheetName val="ສະຖິຕິພະນັກງານຫ້ອງການ(ແບບລະອຽດ)"/>
      <sheetName val="ໃບແຈ້ງເພີ່ມພະນັກງານ"/>
      <sheetName val="ອາຍຸການເລື່ອນຊັ້ນ"/>
      <sheetName val="ສະມາຊິກພັກ"/>
      <sheetName val="ທິດສະດີໂພນພະເນົາ"/>
      <sheetName val="ປະຊາມະຕິ ເລື່ອນຊັ້ນ"/>
      <sheetName val="ຊັ້ນ"/>
      <sheetName val="ອາຍຸການຕໍາຫຼວດ 10 ປີຂຶ້ນ"/>
      <sheetName val="ກໍານົດເລື່ອນຊັ້ນ"/>
      <sheetName val="ເລື່ອນຊັ້ນສົ່ງຫ້ອງການເມືອງ"/>
      <sheetName val="Sheet1"/>
    </sheetNames>
    <sheetDataSet>
      <sheetData sheetId="0" refreshError="1"/>
      <sheetData sheetId="1" refreshError="1"/>
      <sheetData sheetId="2">
        <row r="5">
          <cell r="G5" t="str">
            <v>ທ. ປອ ສຸວັນນີ ສີສຸພາບມີໄຊ</v>
          </cell>
          <cell r="H5" t="str">
            <v>ພົຕ</v>
          </cell>
          <cell r="I5" t="str">
            <v>ບຸນຊູ</v>
          </cell>
          <cell r="J5" t="str">
            <v>ຊາຍ</v>
          </cell>
          <cell r="K5">
            <v>22600</v>
          </cell>
          <cell r="L5" t="str">
            <v>63 ປີ</v>
          </cell>
          <cell r="M5">
            <v>45373</v>
          </cell>
          <cell r="O5" t="str">
            <v>ໄຮຢ່ອນ</v>
          </cell>
          <cell r="P5" t="str">
            <v>ທຸລະຄົມ</v>
          </cell>
          <cell r="Q5" t="str">
            <v>ວຽງຈັນ</v>
          </cell>
          <cell r="R5" t="str">
            <v>ໂນນບໍ່ແກ້ວ</v>
          </cell>
          <cell r="S5" t="str">
            <v>ໄຊທານີ</v>
          </cell>
          <cell r="T5" t="str">
            <v>ນະຄອນຫຼວງ</v>
          </cell>
          <cell r="X5" t="str">
            <v>ກ1-24000127</v>
          </cell>
          <cell r="Y5" t="str">
            <v>ລລ</v>
          </cell>
          <cell r="Z5" t="str">
            <v>ພຸດ</v>
          </cell>
          <cell r="AA5" t="str">
            <v>ບໍ່ມີ</v>
          </cell>
          <cell r="AB5">
            <v>27566</v>
          </cell>
          <cell r="AC5">
            <v>27626</v>
          </cell>
          <cell r="AE5">
            <v>32554</v>
          </cell>
          <cell r="AG5">
            <v>33040</v>
          </cell>
          <cell r="AI5">
            <v>28015</v>
          </cell>
          <cell r="AL5" t="str">
            <v>ຄະນະພັກກະຊວງ</v>
          </cell>
          <cell r="AM5" t="str">
            <v>ຫົວໜ້າກົມໃຫຍ່ການເມືອງ</v>
          </cell>
          <cell r="AN5" t="str">
            <v>ອ 3</v>
          </cell>
          <cell r="AO5" t="str">
            <v>ຫວຽດນາມ</v>
          </cell>
          <cell r="AP5" t="str">
            <v>ປອ</v>
          </cell>
          <cell r="AQ5" t="str">
            <v>ຕ່າງປະເທດ</v>
          </cell>
          <cell r="AR5" t="str">
            <v>ສັນຕິບານ</v>
          </cell>
          <cell r="AS5" t="str">
            <v>ກໍ່ສ້າງ</v>
          </cell>
          <cell r="AT5" t="str">
            <v>ວິທະຍາຄານສັນຕິບານ ສສ ຫວຽດນາມ</v>
          </cell>
          <cell r="AU5" t="str">
            <v>03 ປີ</v>
          </cell>
          <cell r="AV5" t="str">
            <v>2008 - 2010</v>
          </cell>
          <cell r="BD5" t="str">
            <v>ຂັ້ນສູງ</v>
          </cell>
          <cell r="BE5" t="str">
            <v>ການເມືອງການປົກຄອງ</v>
          </cell>
          <cell r="BF5" t="str">
            <v>ບໍາລຸງ</v>
          </cell>
          <cell r="BG5" t="str">
            <v>ສະຖາບັນການເມືອງທ່າງ່ອນ</v>
          </cell>
          <cell r="BH5" t="str">
            <v>06 ເດືອນ</v>
          </cell>
          <cell r="BI5">
            <v>2013</v>
          </cell>
          <cell r="BJ5" t="str">
            <v>ຕ</v>
          </cell>
          <cell r="BQ5" t="str">
            <v>ຕິ່ງຄໍາ</v>
          </cell>
          <cell r="BR5" t="str">
            <v>ຕ</v>
          </cell>
          <cell r="BX5" t="str">
            <v>ທອງສະຫວັນ ແກ້ວມະນີ</v>
          </cell>
          <cell r="BZ5" t="str">
            <v>ໂນນບໍ່ແກ້ວ</v>
          </cell>
          <cell r="CA5" t="str">
            <v>ໄຊທານີ</v>
          </cell>
          <cell r="CB5" t="str">
            <v>ນະຄອນຫຼວງ</v>
          </cell>
          <cell r="CC5" t="str">
            <v>ແມ່ເຮືອນ</v>
          </cell>
          <cell r="CE5">
            <v>3</v>
          </cell>
          <cell r="CF5">
            <v>99800660</v>
          </cell>
          <cell r="CH5" t="str">
            <v>ສັນຕິບານ</v>
          </cell>
        </row>
        <row r="6">
          <cell r="G6" t="str">
            <v>ທ. ປອ ວຽງໄຊ ທໍາມະສິດ</v>
          </cell>
          <cell r="H6" t="str">
            <v>ພັອ</v>
          </cell>
          <cell r="J6" t="str">
            <v>ຊາຍ</v>
          </cell>
          <cell r="K6">
            <v>30290</v>
          </cell>
          <cell r="L6" t="str">
            <v>42 ປີ</v>
          </cell>
          <cell r="M6">
            <v>44946</v>
          </cell>
          <cell r="O6" t="str">
            <v>ທາດຫຼວງກາງ</v>
          </cell>
          <cell r="P6" t="str">
            <v>ໄຊເສດຖາ</v>
          </cell>
          <cell r="Q6" t="str">
            <v>ນະຄອນຫຼວງ</v>
          </cell>
          <cell r="R6" t="str">
            <v>ຮ່ອງໄກ່ແກ້ວ</v>
          </cell>
          <cell r="S6" t="str">
            <v>ຈັນທະບູລີ</v>
          </cell>
          <cell r="T6" t="str">
            <v>ນະຄອນຫຼວງ</v>
          </cell>
          <cell r="X6" t="str">
            <v>01-19001829</v>
          </cell>
          <cell r="Y6" t="str">
            <v>ລລ</v>
          </cell>
          <cell r="Z6" t="str">
            <v>ພຸດ</v>
          </cell>
          <cell r="AA6" t="str">
            <v>25519/ກພງ</v>
          </cell>
          <cell r="AB6">
            <v>36800</v>
          </cell>
          <cell r="AC6">
            <v>36800</v>
          </cell>
          <cell r="AE6">
            <v>39210</v>
          </cell>
          <cell r="AG6">
            <v>39735</v>
          </cell>
          <cell r="AI6">
            <v>34526</v>
          </cell>
          <cell r="AL6" t="str">
            <v>ຄະນະປະຈໍາພັກກົມໃຫຍ່ການເມືອງ ປກສ</v>
          </cell>
          <cell r="AM6" t="str">
            <v>ຫົວໜ້າຫ້ອງການ</v>
          </cell>
          <cell r="AN6" t="str">
            <v>ມ 6</v>
          </cell>
          <cell r="AO6" t="str">
            <v>ຫວຽດນາມ, ອັງກິດ</v>
          </cell>
          <cell r="AW6" t="str">
            <v>ປອ</v>
          </cell>
          <cell r="AX6" t="str">
            <v>ຕ່າງປະເທດ</v>
          </cell>
          <cell r="AY6" t="str">
            <v>ການເມືອງ</v>
          </cell>
          <cell r="AZ6" t="str">
            <v>ກໍ່ສ້າງ</v>
          </cell>
          <cell r="BA6" t="str">
            <v>ສະຖາບັນການເມືອງແຫ່ງຊາດ ສສ ຫວຽດນາມ</v>
          </cell>
          <cell r="BB6" t="str">
            <v>04 ປີ</v>
          </cell>
          <cell r="BC6" t="str">
            <v>2012 - 2016</v>
          </cell>
          <cell r="BD6" t="str">
            <v>ຊສ</v>
          </cell>
          <cell r="BE6" t="str">
            <v>ປະຫວັດສາດປົດປ່ອຍຫວຽດນາມ</v>
          </cell>
          <cell r="BF6" t="str">
            <v>ກໍ່ສ້າງ</v>
          </cell>
          <cell r="BG6" t="str">
            <v>ສະຖາບັນການເມືອງແຫ່ງຊາດ ສສ ຫວຽດນາມ</v>
          </cell>
          <cell r="BH6" t="str">
            <v>04 ປີ</v>
          </cell>
          <cell r="BI6" t="str">
            <v>2012 - 2016</v>
          </cell>
          <cell r="BJ6" t="str">
            <v>ສຸດໃຈ</v>
          </cell>
          <cell r="BK6" t="str">
            <v>ຕ</v>
          </cell>
          <cell r="BQ6" t="str">
            <v>ວັນດີ</v>
          </cell>
          <cell r="BS6" t="str">
            <v>ໂພນພະເນົາ</v>
          </cell>
          <cell r="BT6" t="str">
            <v>ໄຊເສດຖາ</v>
          </cell>
          <cell r="BU6" t="str">
            <v>ນະຄອນຫຼວງ</v>
          </cell>
          <cell r="BV6" t="str">
            <v>ພະນັກງານ ບໍານານ</v>
          </cell>
          <cell r="BW6" t="str">
            <v>ກະຊວງ ປກສ</v>
          </cell>
          <cell r="BX6" t="str">
            <v>ປິ່ນຄໍາ ທໍາມະສິດ</v>
          </cell>
          <cell r="BY6">
            <v>32649</v>
          </cell>
          <cell r="BZ6" t="str">
            <v>ຮ່ອງໄກ່ແກ້ວ</v>
          </cell>
          <cell r="CA6" t="str">
            <v>ຈັນທະບູລີ</v>
          </cell>
          <cell r="CB6" t="str">
            <v>ນະຄອນຫຼວງ</v>
          </cell>
          <cell r="CC6" t="str">
            <v>ຄູ</v>
          </cell>
          <cell r="CE6">
            <v>3</v>
          </cell>
          <cell r="CF6">
            <v>98939798</v>
          </cell>
          <cell r="CH6" t="str">
            <v>ປົກຄອງ</v>
          </cell>
        </row>
        <row r="7">
          <cell r="G7" t="str">
            <v>ທ. ນີວອນ ບຸນວັນມາ</v>
          </cell>
          <cell r="H7" t="str">
            <v>ພັອ</v>
          </cell>
          <cell r="J7" t="str">
            <v>ຊາຍ</v>
          </cell>
          <cell r="K7">
            <v>25390</v>
          </cell>
          <cell r="L7" t="str">
            <v>55 ປີ</v>
          </cell>
          <cell r="M7">
            <v>45197</v>
          </cell>
          <cell r="O7" t="str">
            <v>ໂພນໄຊ</v>
          </cell>
          <cell r="P7" t="str">
            <v>ແປກ</v>
          </cell>
          <cell r="Q7" t="str">
            <v>ຊຽງຂວາງ</v>
          </cell>
          <cell r="R7" t="str">
            <v>ດອນຕິ້ວ</v>
          </cell>
          <cell r="S7" t="str">
            <v>ໄຊທານີ</v>
          </cell>
          <cell r="T7" t="str">
            <v>ນະຄອນຫຼວງ</v>
          </cell>
          <cell r="V7" t="str">
            <v>ເລກ 10</v>
          </cell>
          <cell r="W7" t="str">
            <v>02</v>
          </cell>
          <cell r="X7" t="str">
            <v>01-19010037</v>
          </cell>
          <cell r="Y7" t="str">
            <v>ລລ</v>
          </cell>
          <cell r="Z7" t="str">
            <v>ພຸດ</v>
          </cell>
          <cell r="AA7" t="str">
            <v>ບໍ່ມີ</v>
          </cell>
          <cell r="AB7">
            <v>30956</v>
          </cell>
          <cell r="AC7">
            <v>30956</v>
          </cell>
          <cell r="AE7">
            <v>37407</v>
          </cell>
          <cell r="AG7">
            <v>38019</v>
          </cell>
          <cell r="AI7">
            <v>31811</v>
          </cell>
          <cell r="AK7">
            <v>35776</v>
          </cell>
          <cell r="AL7" t="str">
            <v>ຮອງເລຂາໜ່ວຍພັກ</v>
          </cell>
          <cell r="AM7" t="str">
            <v>ຮອງຫົວໜ້າຫ້ອງການ</v>
          </cell>
          <cell r="AN7" t="str">
            <v>ອ 3</v>
          </cell>
          <cell r="AO7" t="str">
            <v>ອັງກິດ</v>
          </cell>
          <cell r="AW7" t="str">
            <v>ປຕ</v>
          </cell>
          <cell r="AX7" t="str">
            <v>ພາຍໃນ</v>
          </cell>
          <cell r="AY7" t="str">
            <v>ກົດໝາຍຍຸດຕິທໍາ</v>
          </cell>
          <cell r="AZ7" t="str">
            <v>ກໍ່ສ້າງ</v>
          </cell>
          <cell r="BA7" t="str">
            <v>ຄະນະນິຕິສາດ-ລັດຖະສາດ</v>
          </cell>
          <cell r="BB7" t="str">
            <v>5 ປີ</v>
          </cell>
          <cell r="BC7" t="str">
            <v>1993 - 1998</v>
          </cell>
          <cell r="BD7" t="str">
            <v>ຊັ້ນສູງ</v>
          </cell>
          <cell r="BE7" t="str">
            <v>ທິດສະດີການເມືອງ</v>
          </cell>
          <cell r="BF7" t="str">
            <v>ບໍາລຸງ</v>
          </cell>
          <cell r="BG7" t="str">
            <v>ທິດສະດີການເມືອງ ປກສ</v>
          </cell>
          <cell r="BH7" t="str">
            <v>5 ເດືອນ</v>
          </cell>
          <cell r="BI7">
            <v>2020</v>
          </cell>
          <cell r="BJ7" t="str">
            <v>ບຸນກອງ</v>
          </cell>
          <cell r="BK7" t="str">
            <v>ຕ</v>
          </cell>
          <cell r="BQ7" t="str">
            <v>ເໝກ ບຸນວັນມາ</v>
          </cell>
          <cell r="BR7">
            <v>80</v>
          </cell>
          <cell r="BS7" t="str">
            <v>ດ່ອງ</v>
          </cell>
          <cell r="BT7" t="str">
            <v>ແປກ</v>
          </cell>
          <cell r="BU7" t="str">
            <v>ຊຽງຂວາງ</v>
          </cell>
          <cell r="BV7" t="str">
            <v>ປະຊາຊົນ</v>
          </cell>
          <cell r="BX7" t="str">
            <v>ອໍາໄພວັນ ບຸນວັນມາ</v>
          </cell>
          <cell r="BY7">
            <v>25364</v>
          </cell>
          <cell r="BZ7" t="str">
            <v>ດອນຕິ້ວ</v>
          </cell>
          <cell r="CA7" t="str">
            <v>ໄຊທານີ</v>
          </cell>
          <cell r="CB7" t="str">
            <v>ນະຄອນຫຼວງ</v>
          </cell>
          <cell r="CC7" t="str">
            <v>ພະນັກງານບໍານານ</v>
          </cell>
          <cell r="CE7">
            <v>2</v>
          </cell>
          <cell r="CF7">
            <v>99803092</v>
          </cell>
          <cell r="CH7" t="str">
            <v>ປົກຄອງ</v>
          </cell>
        </row>
        <row r="8">
          <cell r="G8" t="str">
            <v>ນ. ລີວອນ ລາວລີ</v>
          </cell>
          <cell r="H8" t="str">
            <v>ພັອ</v>
          </cell>
          <cell r="J8" t="str">
            <v>ຍິງ</v>
          </cell>
          <cell r="K8">
            <v>25477</v>
          </cell>
          <cell r="L8" t="str">
            <v>55 ປີ</v>
          </cell>
          <cell r="M8">
            <v>45589</v>
          </cell>
          <cell r="O8" t="str">
            <v>ນານໍ້າ</v>
          </cell>
          <cell r="P8" t="str">
            <v>ບຸນໃຕ້</v>
          </cell>
          <cell r="Q8" t="str">
            <v>ຜົ້ງສາລີ</v>
          </cell>
          <cell r="R8" t="str">
            <v>ໂພນພະເນົາ</v>
          </cell>
          <cell r="S8" t="str">
            <v>ໄຊເສດຖາ</v>
          </cell>
          <cell r="T8" t="str">
            <v>ນະຄອນຫຼວງ</v>
          </cell>
          <cell r="U8" t="str">
            <v>897</v>
          </cell>
          <cell r="V8" t="str">
            <v>ໂພນຕ້ອງ</v>
          </cell>
          <cell r="X8" t="str">
            <v>ກ1-23000151</v>
          </cell>
          <cell r="Y8" t="str">
            <v>ອາຄາ</v>
          </cell>
          <cell r="Z8" t="str">
            <v>ຜີ</v>
          </cell>
          <cell r="AA8" t="str">
            <v>ບໍ່ມີ</v>
          </cell>
          <cell r="AB8">
            <v>32287</v>
          </cell>
          <cell r="AC8">
            <v>32287</v>
          </cell>
          <cell r="AE8">
            <v>35177</v>
          </cell>
          <cell r="AG8">
            <v>35696</v>
          </cell>
          <cell r="AI8">
            <v>31140</v>
          </cell>
          <cell r="AJ8">
            <v>31234</v>
          </cell>
          <cell r="AL8" t="str">
            <v>ປະທານກວດກາພັກ</v>
          </cell>
          <cell r="AM8" t="str">
            <v>ຮອງຫົວໜ້າຫ້ອງການ</v>
          </cell>
          <cell r="AN8" t="str">
            <v>ມ 6</v>
          </cell>
          <cell r="AP8" t="str">
            <v>ຊສ</v>
          </cell>
          <cell r="AQ8" t="str">
            <v>ພາຍໃນ</v>
          </cell>
          <cell r="AR8" t="str">
            <v>ສັນຕິບານ</v>
          </cell>
          <cell r="AS8" t="str">
            <v>ກໍ່ສ້າງ</v>
          </cell>
          <cell r="AT8" t="str">
            <v>ວິທະຍາຄານ ຕໍາຫຼວດ ປະຊາຊົນ</v>
          </cell>
          <cell r="AU8" t="str">
            <v>2 ປີ</v>
          </cell>
          <cell r="AV8" t="str">
            <v>2010 - 2011</v>
          </cell>
          <cell r="AW8" t="str">
            <v>ປຕ</v>
          </cell>
          <cell r="AX8" t="str">
            <v>ພາຍໃນ</v>
          </cell>
          <cell r="AY8" t="str">
            <v>ການເງິນ-ການທະນາຄານ</v>
          </cell>
          <cell r="AZ8" t="str">
            <v>ກໍ່ສ້າງ</v>
          </cell>
          <cell r="BA8" t="str">
            <v>ວິທະຍາໄລເສດຖາ-ບໍລິຫານທຸລະກິດ</v>
          </cell>
          <cell r="BB8" t="str">
            <v>2 ປີ</v>
          </cell>
          <cell r="BC8" t="str">
            <v>2014 - 2015</v>
          </cell>
          <cell r="BD8" t="str">
            <v>ຊັ້ນສູງ</v>
          </cell>
          <cell r="BE8" t="str">
            <v>ທິດສະດີການເມືອງ ແລະ ການປົກຄອງ</v>
          </cell>
          <cell r="BF8" t="str">
            <v>ກໍ່ສ້າງ</v>
          </cell>
          <cell r="BG8" t="str">
            <v>ທິດສະດີການເມືອງ ປກສ</v>
          </cell>
          <cell r="BH8" t="str">
            <v>2 ປີ</v>
          </cell>
          <cell r="BI8" t="str">
            <v>2013 - 2015</v>
          </cell>
          <cell r="BJ8" t="str">
            <v>ອາຊາງ ລາວລີ</v>
          </cell>
          <cell r="BK8">
            <v>83</v>
          </cell>
          <cell r="BL8" t="str">
            <v>ໂພນພະເນົາ</v>
          </cell>
          <cell r="BM8" t="str">
            <v>ໄຊເສດຖາ</v>
          </cell>
          <cell r="BN8" t="str">
            <v>ນະຄອນຫຼວງ</v>
          </cell>
          <cell r="BO8" t="str">
            <v>ພະນັກງານບໍານານ</v>
          </cell>
          <cell r="BQ8" t="str">
            <v>ຕ</v>
          </cell>
          <cell r="BX8" t="str">
            <v>ຄໍາແພງ ລາວລີ</v>
          </cell>
          <cell r="BY8">
            <v>21427</v>
          </cell>
          <cell r="BZ8" t="str">
            <v>ໂພນພະເນົາ</v>
          </cell>
          <cell r="CA8" t="str">
            <v>ໄຊເສດຖາ</v>
          </cell>
          <cell r="CB8" t="str">
            <v>ນະຄອນຫຼວງ</v>
          </cell>
          <cell r="CC8" t="str">
            <v>ພະນັກງານບໍານານ</v>
          </cell>
          <cell r="CE8">
            <v>3</v>
          </cell>
          <cell r="CF8">
            <v>99802399</v>
          </cell>
          <cell r="CH8" t="str">
            <v>ປົກຄອງ</v>
          </cell>
        </row>
        <row r="9">
          <cell r="G9" t="str">
            <v>ທ. ປທ ສອນທະວີ ຂັນຕີ</v>
          </cell>
          <cell r="H9" t="str">
            <v>ພັທ</v>
          </cell>
          <cell r="I9" t="str">
            <v>ສອນ</v>
          </cell>
          <cell r="J9" t="str">
            <v>ຊາຍ</v>
          </cell>
          <cell r="K9">
            <v>30472</v>
          </cell>
          <cell r="L9" t="str">
            <v>41 ປີ</v>
          </cell>
          <cell r="M9">
            <v>44708</v>
          </cell>
          <cell r="O9" t="str">
            <v>ໂພໄຊ</v>
          </cell>
          <cell r="P9" t="str">
            <v>ວັງວຽງ</v>
          </cell>
          <cell r="Q9" t="str">
            <v>ວຽງຈັນ</v>
          </cell>
          <cell r="R9" t="str">
            <v>ຄຳຮຸ່ງ</v>
          </cell>
          <cell r="S9" t="str">
            <v>ໄຊທານີ</v>
          </cell>
          <cell r="T9" t="str">
            <v>ນະຄອນຫຼວງ</v>
          </cell>
          <cell r="U9" t="str">
            <v>321</v>
          </cell>
          <cell r="V9" t="str">
            <v>ໂພນຕ້ອງ-ດົງໂດກ</v>
          </cell>
          <cell r="X9" t="str">
            <v>01-19036235</v>
          </cell>
          <cell r="Y9" t="str">
            <v>ລລ</v>
          </cell>
          <cell r="Z9" t="str">
            <v>ພຸດ</v>
          </cell>
          <cell r="AA9" t="str">
            <v>02328/ກພງ</v>
          </cell>
          <cell r="AB9">
            <v>39328</v>
          </cell>
          <cell r="AC9">
            <v>39328</v>
          </cell>
          <cell r="AE9">
            <v>40483</v>
          </cell>
          <cell r="AG9">
            <v>40861</v>
          </cell>
          <cell r="AL9" t="str">
            <v>ຄະນະພັກ</v>
          </cell>
          <cell r="AM9" t="str">
            <v>ຮອງຫົວໜ້າຫ້ອງການ</v>
          </cell>
          <cell r="AN9" t="str">
            <v>ມ 6</v>
          </cell>
          <cell r="AO9" t="str">
            <v>ຫວຽດນາມ, ອັງກິດ</v>
          </cell>
          <cell r="AP9" t="str">
            <v>ປທ</v>
          </cell>
          <cell r="AQ9" t="str">
            <v>ຫວຽດນາມ</v>
          </cell>
          <cell r="AR9" t="str">
            <v>ການເມືອງ</v>
          </cell>
          <cell r="AS9" t="str">
            <v>ກໍ່ສ້າງ</v>
          </cell>
          <cell r="AT9" t="str">
            <v>ສະຖາບັນການເມືອງແຫ່ງຊາດ ໂຮ່ຈີມິນ</v>
          </cell>
          <cell r="AU9" t="str">
            <v>2 ປີ</v>
          </cell>
          <cell r="AV9" t="str">
            <v>2022 - 2024</v>
          </cell>
          <cell r="AW9" t="str">
            <v>ປຕ</v>
          </cell>
          <cell r="AX9" t="str">
            <v>ພາຍໃນ</v>
          </cell>
          <cell r="AY9" t="str">
            <v>ອັກສອນສາດ ພາສາອັງກິດ</v>
          </cell>
          <cell r="AZ9" t="str">
            <v>ກໍ່ສ້າງ</v>
          </cell>
          <cell r="BA9" t="str">
            <v>ມະຫາວິທະຍາໄລ ແຫ່ງຊາດ</v>
          </cell>
          <cell r="BB9" t="str">
            <v>2 ປີ</v>
          </cell>
          <cell r="BC9" t="str">
            <v>2005 - 2006</v>
          </cell>
          <cell r="BD9" t="str">
            <v>ຂັ້ນສູງ</v>
          </cell>
          <cell r="BE9" t="str">
            <v>ການເມືອງ</v>
          </cell>
          <cell r="BF9" t="str">
            <v>ກໍ່ສ້າງ</v>
          </cell>
          <cell r="BG9" t="str">
            <v>ສະຖາບັນໂຄສະນາ-ຂ່າວສານ ສສ ຫວຽດນາມ</v>
          </cell>
          <cell r="BH9" t="str">
            <v>4 ປີ</v>
          </cell>
          <cell r="BI9" t="str">
            <v>2014-2018</v>
          </cell>
          <cell r="BJ9" t="str">
            <v>ຍອດ ຂັນຕີ</v>
          </cell>
          <cell r="BK9" t="str">
            <v>ຕ</v>
          </cell>
          <cell r="BQ9" t="str">
            <v>ສາ ຂຸນພົນ</v>
          </cell>
          <cell r="BR9" t="str">
            <v>ຕ</v>
          </cell>
          <cell r="BX9" t="str">
            <v>ສົມສະນິດ ລາດສົມຄໍາ</v>
          </cell>
          <cell r="BY9">
            <v>31048</v>
          </cell>
          <cell r="BZ9" t="str">
            <v>ຄໍາຮຸ່ງ</v>
          </cell>
          <cell r="CA9" t="str">
            <v>ໄຊທານີ</v>
          </cell>
          <cell r="CB9" t="str">
            <v>ນະຄອນຫຼວງ</v>
          </cell>
          <cell r="CC9" t="str">
            <v>ພະນັກງານ</v>
          </cell>
          <cell r="CD9" t="str">
            <v>ສະຖາບັນພັດທະນາສີມືແຮງງານ</v>
          </cell>
          <cell r="CE9">
            <v>1</v>
          </cell>
          <cell r="CF9">
            <v>56695395</v>
          </cell>
          <cell r="CH9" t="str">
            <v>ປົກຄອງ</v>
          </cell>
        </row>
        <row r="10">
          <cell r="G10" t="str">
            <v>ທ. ນົງຄານ ຈັນທະວົງ</v>
          </cell>
          <cell r="H10" t="str">
            <v>ພັທ</v>
          </cell>
          <cell r="I10" t="str">
            <v>ນົງ</v>
          </cell>
          <cell r="J10" t="str">
            <v>ຊາຍ</v>
          </cell>
          <cell r="K10">
            <v>28825</v>
          </cell>
          <cell r="L10" t="str">
            <v>46 ປີ</v>
          </cell>
          <cell r="M10">
            <v>45240</v>
          </cell>
          <cell r="O10" t="str">
            <v>ໂນນສະຫວັນ</v>
          </cell>
          <cell r="P10" t="str">
            <v>ຊະນະສົມບູນ</v>
          </cell>
          <cell r="Q10" t="str">
            <v>ຈໍາປາສັກ</v>
          </cell>
          <cell r="R10" t="str">
            <v>ຫົວນາ</v>
          </cell>
          <cell r="S10" t="str">
            <v>ນາຊາຍທອງ</v>
          </cell>
          <cell r="T10" t="str">
            <v>ນະຄອນຫຼວງ</v>
          </cell>
          <cell r="U10" t="str">
            <v>01</v>
          </cell>
          <cell r="X10" t="str">
            <v>ບໍ່ມີ</v>
          </cell>
          <cell r="Y10" t="str">
            <v>ລລ</v>
          </cell>
          <cell r="Z10" t="str">
            <v>ພຸດ</v>
          </cell>
          <cell r="AA10" t="str">
            <v>35620/ກພງ</v>
          </cell>
          <cell r="AB10">
            <v>36693</v>
          </cell>
          <cell r="AC10">
            <v>36693</v>
          </cell>
          <cell r="AE10">
            <v>41038</v>
          </cell>
          <cell r="AG10">
            <v>41421</v>
          </cell>
          <cell r="AI10">
            <v>36030</v>
          </cell>
          <cell r="AL10" t="str">
            <v>ຮອງປະທານກວດກາພັກ</v>
          </cell>
          <cell r="AM10" t="str">
            <v>ຫົວໜ້າພະແນກ</v>
          </cell>
          <cell r="AN10" t="str">
            <v>ມ 6</v>
          </cell>
          <cell r="AP10" t="str">
            <v>ປຕ</v>
          </cell>
          <cell r="AQ10" t="str">
            <v>ພາຍໃນ</v>
          </cell>
          <cell r="AR10" t="str">
            <v>ຄະດີເສດຖະກິດ</v>
          </cell>
          <cell r="AS10" t="str">
            <v>ກໍ່ສ້າງ</v>
          </cell>
          <cell r="AT10" t="str">
            <v>ວິທະຍາຄານ ປກສ ແຫ່ງຊາດ</v>
          </cell>
          <cell r="AU10" t="str">
            <v>5 ປີ</v>
          </cell>
          <cell r="AV10" t="str">
            <v>2005-2011</v>
          </cell>
          <cell r="BJ10" t="str">
            <v>ຄໍາມາກ ຈັນທະວົງ</v>
          </cell>
          <cell r="BK10">
            <v>70</v>
          </cell>
          <cell r="BL10" t="str">
            <v>ນາທະວັງ</v>
          </cell>
          <cell r="BM10" t="str">
            <v>ພີນ</v>
          </cell>
          <cell r="BN10" t="str">
            <v>ສະຫວັນນະເຂດ</v>
          </cell>
          <cell r="BO10" t="str">
            <v>ປະຊາຊົນ</v>
          </cell>
          <cell r="BQ10" t="str">
            <v>ໄຄສີ ຈັນທະວົງ</v>
          </cell>
          <cell r="BR10">
            <v>68</v>
          </cell>
          <cell r="BS10" t="str">
            <v>ໂນນບົກ</v>
          </cell>
          <cell r="BT10" t="str">
            <v>ຄົງເຊໂດນ</v>
          </cell>
          <cell r="BU10" t="str">
            <v>ສາລະວັນ</v>
          </cell>
          <cell r="BV10" t="str">
            <v>ປະຊາຊົນ</v>
          </cell>
          <cell r="BX10" t="str">
            <v>ນ. ຄໍາພູວັນ ພິມມະສອນ</v>
          </cell>
          <cell r="BY10">
            <v>28346</v>
          </cell>
          <cell r="BZ10" t="str">
            <v>ຫົວນາ</v>
          </cell>
          <cell r="CA10" t="str">
            <v>ນາຊາຍທອງ</v>
          </cell>
          <cell r="CB10" t="str">
            <v>ນະຄອນຫຼວງ</v>
          </cell>
          <cell r="CC10" t="str">
            <v>ປະຊາຊົນ</v>
          </cell>
          <cell r="CE10">
            <v>1</v>
          </cell>
          <cell r="CF10">
            <v>92327226</v>
          </cell>
          <cell r="CH10" t="str">
            <v>ຕໍາຫຼວດ</v>
          </cell>
        </row>
        <row r="11">
          <cell r="G11" t="str">
            <v>ທ. ປທ ແສງສຸລີ ແດງເພັງ</v>
          </cell>
          <cell r="H11" t="str">
            <v>ພັທ</v>
          </cell>
          <cell r="I11" t="str">
            <v>ແສງ</v>
          </cell>
          <cell r="J11" t="str">
            <v>ຊາຍ</v>
          </cell>
          <cell r="K11">
            <v>31297</v>
          </cell>
          <cell r="L11" t="str">
            <v>39 ປີ</v>
          </cell>
          <cell r="M11">
            <v>45511</v>
          </cell>
          <cell r="O11" t="str">
            <v>ຂົວຫຼວງ</v>
          </cell>
          <cell r="P11" t="str">
            <v>ຈັນທະບູລີ</v>
          </cell>
          <cell r="Q11" t="str">
            <v>ນະຄອນຫຼວງ</v>
          </cell>
          <cell r="R11" t="str">
            <v>ຄໍາຮຸ່ງ</v>
          </cell>
          <cell r="S11" t="str">
            <v>ໄຊທານີ</v>
          </cell>
          <cell r="T11" t="str">
            <v>ນະຄອນຫຼວງ</v>
          </cell>
          <cell r="U11" t="str">
            <v>600</v>
          </cell>
          <cell r="X11" t="str">
            <v>01-20033701</v>
          </cell>
          <cell r="Y11" t="str">
            <v>ລລ</v>
          </cell>
          <cell r="Z11" t="str">
            <v>ພຸດ</v>
          </cell>
          <cell r="AA11" t="str">
            <v>ບໍ່ມີ</v>
          </cell>
          <cell r="AB11">
            <v>40398</v>
          </cell>
          <cell r="AC11">
            <v>40398</v>
          </cell>
          <cell r="AE11">
            <v>41754</v>
          </cell>
          <cell r="AG11">
            <v>42213</v>
          </cell>
          <cell r="AI11">
            <v>41177</v>
          </cell>
          <cell r="AK11">
            <v>39933</v>
          </cell>
          <cell r="AL11" t="str">
            <v>ຫົວໜ້າຈຸພັກ</v>
          </cell>
          <cell r="AM11" t="str">
            <v>ຫົວໜ້າພະແນກ</v>
          </cell>
          <cell r="AN11" t="str">
            <v>ມ 6</v>
          </cell>
          <cell r="AO11" t="str">
            <v>ອັງກິດ</v>
          </cell>
          <cell r="AP11" t="str">
            <v>ປທ</v>
          </cell>
          <cell r="AQ11" t="str">
            <v>ພາຍໃນ</v>
          </cell>
          <cell r="AR11" t="str">
            <v>ກົດໝາຍດໍາເນີນຄະດີອາຍາ</v>
          </cell>
          <cell r="AS11" t="str">
            <v>ເຊື່ອມຕໍ່</v>
          </cell>
          <cell r="AT11" t="str">
            <v>ວິທະຍາຄານສັນຕິບານປະຊາຊົນ</v>
          </cell>
          <cell r="AU11" t="str">
            <v>2 ປີ</v>
          </cell>
          <cell r="AV11" t="str">
            <v>2022 - 2024</v>
          </cell>
          <cell r="AW11" t="str">
            <v>ປທ</v>
          </cell>
          <cell r="AX11" t="str">
            <v>ພາຍໃນ</v>
          </cell>
          <cell r="AY11" t="str">
            <v>ການຄຸ້ມຄອງຊັບພະຍາກອນວັດທະນະທໍາ</v>
          </cell>
          <cell r="AZ11" t="str">
            <v>ກໍ່ສ້າງ</v>
          </cell>
          <cell r="BA11" t="str">
            <v>ມະຫາວິທະຍາໄລແຫ່ງຊາດ</v>
          </cell>
          <cell r="BB11" t="str">
            <v>2 ປີ</v>
          </cell>
          <cell r="BC11" t="str">
            <v>2010 - 2011</v>
          </cell>
          <cell r="BJ11" t="str">
            <v>ນໍ່ແກ້ວ ແດງເພັງ</v>
          </cell>
          <cell r="BL11" t="str">
            <v>ວຽງແກ້ວ</v>
          </cell>
          <cell r="BM11" t="str">
            <v>ຫຼວງພະບາງ</v>
          </cell>
          <cell r="BN11" t="str">
            <v>ຫຼວງພະບາງ</v>
          </cell>
          <cell r="BO11" t="str">
            <v>ປະຊາຊົນ</v>
          </cell>
          <cell r="BQ11" t="str">
            <v>ທອງດໍາ ແດງເພັງ</v>
          </cell>
          <cell r="BS11" t="str">
            <v>ວຽງແກ້ວ</v>
          </cell>
          <cell r="BT11" t="str">
            <v>ຫຼວງພະບາງ</v>
          </cell>
          <cell r="BU11" t="str">
            <v>ຫຼວງພະບາງ</v>
          </cell>
          <cell r="BX11" t="str">
            <v>ດາວທຽມວອນ ວິລະສານ</v>
          </cell>
          <cell r="BY11">
            <v>31457</v>
          </cell>
          <cell r="BZ11" t="str">
            <v>ຄໍາຮຸ່ງ</v>
          </cell>
          <cell r="CA11" t="str">
            <v>ໄຊທານີ</v>
          </cell>
          <cell r="CB11" t="str">
            <v>ນະຄອນຫຼວງ</v>
          </cell>
          <cell r="CC11" t="str">
            <v>ພະນັກງານທະນາຄານການຄ້າ</v>
          </cell>
          <cell r="CD11" t="str">
            <v>ສາຂາໄຊເສດຖາ</v>
          </cell>
          <cell r="CE11">
            <v>2</v>
          </cell>
          <cell r="CF11">
            <v>95324456</v>
          </cell>
          <cell r="CH11" t="str">
            <v>ສັນຕິບານ</v>
          </cell>
        </row>
        <row r="12">
          <cell r="G12" t="str">
            <v>ທ. ວັນນະສິນ ແສງຈັນທະວົງ</v>
          </cell>
          <cell r="H12" t="str">
            <v>ພັທ</v>
          </cell>
          <cell r="J12" t="str">
            <v>ຊາຍ</v>
          </cell>
          <cell r="K12">
            <v>28982</v>
          </cell>
          <cell r="L12" t="str">
            <v>46 ປີ</v>
          </cell>
          <cell r="M12">
            <v>44977</v>
          </cell>
          <cell r="O12" t="str">
            <v>ໂພນແຍງເໜືອ</v>
          </cell>
          <cell r="P12" t="str">
            <v>ແກ້ວອຸດົມ</v>
          </cell>
          <cell r="Q12" t="str">
            <v>ວຽງຈັນ</v>
          </cell>
          <cell r="R12" t="str">
            <v>ວັດໄຕນ້ອຍ</v>
          </cell>
          <cell r="S12" t="str">
            <v>ສີໂຄດຕະບອງ</v>
          </cell>
          <cell r="T12" t="str">
            <v>ນະຄອນຫຼວງ</v>
          </cell>
          <cell r="W12" t="str">
            <v>02</v>
          </cell>
          <cell r="X12" t="str">
            <v>A1-00640612</v>
          </cell>
          <cell r="Y12" t="str">
            <v>ລລ</v>
          </cell>
          <cell r="Z12" t="str">
            <v>ພຸດ</v>
          </cell>
          <cell r="AA12" t="str">
            <v>02335/ກພງ</v>
          </cell>
          <cell r="AB12">
            <v>36774</v>
          </cell>
          <cell r="AC12">
            <v>36774</v>
          </cell>
          <cell r="AE12">
            <v>41207</v>
          </cell>
          <cell r="AG12">
            <v>41684</v>
          </cell>
          <cell r="AL12" t="str">
            <v>ຫົວໜ້າຈຸພັກ</v>
          </cell>
          <cell r="AM12" t="str">
            <v>ຫົວໜ້າພະແນກ</v>
          </cell>
          <cell r="AN12" t="str">
            <v>ມ 6</v>
          </cell>
          <cell r="AO12" t="str">
            <v>ຫວຽດນາມ</v>
          </cell>
          <cell r="AP12" t="str">
            <v>ປຕ</v>
          </cell>
          <cell r="AQ12" t="str">
            <v>ຕ່າງປະເທດ</v>
          </cell>
          <cell r="AR12" t="str">
            <v>ຂໍ້ມູນຂ່າວສານ</v>
          </cell>
          <cell r="AS12" t="str">
            <v>ກໍ່ສ້າງ</v>
          </cell>
          <cell r="AT12" t="str">
            <v>ວິທະຍາຄານສັນຕິບານ ສສ ຫວຽດນາມ</v>
          </cell>
          <cell r="AU12" t="str">
            <v>6 ປີ</v>
          </cell>
          <cell r="AV12" t="str">
            <v>2004 - 2010</v>
          </cell>
          <cell r="BJ12" t="str">
            <v>ຕ</v>
          </cell>
          <cell r="BQ12" t="str">
            <v>ແກ່ນຄໍາ</v>
          </cell>
          <cell r="BR12">
            <v>70</v>
          </cell>
          <cell r="BS12" t="str">
            <v>ໂພນແຍງເໜືອ</v>
          </cell>
          <cell r="BT12" t="str">
            <v>ແກ້ວອຸດົມ</v>
          </cell>
          <cell r="BU12" t="str">
            <v>ວຽງຈັນ</v>
          </cell>
          <cell r="BV12" t="str">
            <v>ປະຊາຊົນ</v>
          </cell>
          <cell r="BX12" t="str">
            <v>ຄໍານ້ອຍ ດວງຈໍາປາ</v>
          </cell>
          <cell r="BY12">
            <v>29489</v>
          </cell>
          <cell r="BZ12" t="str">
            <v>ວັດໄຕນ້ອຍທົ່ງ</v>
          </cell>
          <cell r="CA12" t="str">
            <v>ສີໂຄດຕະບອງ</v>
          </cell>
          <cell r="CB12" t="str">
            <v>ນະຄອນຫຼວງ</v>
          </cell>
          <cell r="CC12" t="str">
            <v>ຕໍາຫຼວດ</v>
          </cell>
          <cell r="CD12" t="str">
            <v>ຫ້ອງວ່າການກະຊວງ</v>
          </cell>
          <cell r="CE12">
            <v>2</v>
          </cell>
          <cell r="CF12">
            <v>52360461</v>
          </cell>
          <cell r="CH12" t="str">
            <v>ສັນຕິບານ</v>
          </cell>
        </row>
        <row r="13">
          <cell r="G13" t="str">
            <v>ນ. ບຸນໄພ ຈັນແກ້ວວິໄລ</v>
          </cell>
          <cell r="H13" t="str">
            <v>ພັທ</v>
          </cell>
          <cell r="J13" t="str">
            <v>ຍິງ</v>
          </cell>
          <cell r="K13">
            <v>26545</v>
          </cell>
          <cell r="L13" t="str">
            <v>52 ປີ</v>
          </cell>
          <cell r="M13">
            <v>43734</v>
          </cell>
          <cell r="O13" t="str">
            <v>ບຸນໃຕ້</v>
          </cell>
          <cell r="P13" t="str">
            <v>ບຸນເໜືອ</v>
          </cell>
          <cell r="Q13" t="str">
            <v>ຜົ້ງສາລີ</v>
          </cell>
          <cell r="R13" t="str">
            <v>ໜອງແວງ</v>
          </cell>
          <cell r="S13" t="str">
            <v>ຫາດຊາຍຟອງ</v>
          </cell>
          <cell r="T13" t="str">
            <v>ນະຄອນຫຼວງ</v>
          </cell>
          <cell r="U13" t="str">
            <v>210</v>
          </cell>
          <cell r="V13" t="str">
            <v>ທ່າເດື່ອ</v>
          </cell>
          <cell r="W13" t="str">
            <v>01</v>
          </cell>
          <cell r="X13" t="str">
            <v>01-20016848</v>
          </cell>
          <cell r="Y13" t="str">
            <v>ລລ</v>
          </cell>
          <cell r="Z13" t="str">
            <v>ພຸດ</v>
          </cell>
          <cell r="AA13" t="str">
            <v>02327/ກພງ</v>
          </cell>
          <cell r="AB13">
            <v>34525</v>
          </cell>
          <cell r="AC13">
            <v>34525</v>
          </cell>
          <cell r="AE13">
            <v>38873</v>
          </cell>
          <cell r="AG13">
            <v>39303</v>
          </cell>
          <cell r="AI13">
            <v>31962</v>
          </cell>
          <cell r="AJ13">
            <v>32655</v>
          </cell>
          <cell r="AL13" t="str">
            <v>ຫົວໜ້າຈຸພັກ</v>
          </cell>
          <cell r="AM13" t="str">
            <v>ຫົວໜ້າພະແນກ</v>
          </cell>
          <cell r="AN13" t="str">
            <v>ອ 3</v>
          </cell>
          <cell r="AW13" t="str">
            <v>ປຕ</v>
          </cell>
          <cell r="AX13" t="str">
            <v>ພາຍໃນ</v>
          </cell>
          <cell r="AY13" t="str">
            <v>ການເງິນ-ການທະນາຄານ</v>
          </cell>
          <cell r="AZ13" t="str">
            <v>ເຊື່ອມຕໍ່</v>
          </cell>
          <cell r="BA13" t="str">
            <v>ວິທະຍາໄລ ເສດຖາ ບໍລິຫານທຸລະກິດ</v>
          </cell>
          <cell r="BB13" t="str">
            <v>2 ປີ</v>
          </cell>
          <cell r="BC13" t="str">
            <v>2012 - 2013</v>
          </cell>
          <cell r="BJ13" t="str">
            <v>ຄໍາໝັ້ນ ຈັນແກ້ວວິໄລ</v>
          </cell>
          <cell r="BK13" t="str">
            <v>ຕ</v>
          </cell>
          <cell r="BQ13" t="str">
            <v>ເຖົາແກ້ວ</v>
          </cell>
          <cell r="BR13" t="str">
            <v>ຕ</v>
          </cell>
          <cell r="BX13" t="str">
            <v>ທອງວັນ ພົງສະຫວັນ</v>
          </cell>
          <cell r="BY13">
            <v>24240</v>
          </cell>
          <cell r="BZ13" t="str">
            <v>ໜອງແວງ</v>
          </cell>
          <cell r="CA13" t="str">
            <v>ຫາດຊາຍຟອງ</v>
          </cell>
          <cell r="CB13" t="str">
            <v>ນະຄອນຫຼວງ</v>
          </cell>
          <cell r="CC13" t="str">
            <v>ຕໍາຫຼວດ</v>
          </cell>
          <cell r="CD13" t="str">
            <v>ກົມປາບປາມຢາເສບຕິດ</v>
          </cell>
          <cell r="CE13">
            <v>2</v>
          </cell>
          <cell r="CF13">
            <v>96862009</v>
          </cell>
          <cell r="CH13" t="str">
            <v>ປົກຄອງ</v>
          </cell>
        </row>
        <row r="14">
          <cell r="G14" t="str">
            <v>ທ. ອານົນ ພັນວົງສາ</v>
          </cell>
          <cell r="H14" t="str">
            <v>ພັທ</v>
          </cell>
          <cell r="I14" t="str">
            <v>ນົນ</v>
          </cell>
          <cell r="J14" t="str">
            <v>ຊາຍ</v>
          </cell>
          <cell r="K14">
            <v>27914</v>
          </cell>
          <cell r="L14" t="str">
            <v>48 ປີ</v>
          </cell>
          <cell r="M14">
            <v>44615</v>
          </cell>
          <cell r="O14" t="str">
            <v>ອາກາດ</v>
          </cell>
          <cell r="P14" t="str">
            <v>ສີໂຄດຕະບອງ</v>
          </cell>
          <cell r="Q14" t="str">
            <v>ນະຄອນຫຼວງ</v>
          </cell>
          <cell r="R14" t="str">
            <v>ຈັນສະຫວ່າງ</v>
          </cell>
          <cell r="S14" t="str">
            <v>ສີໂຄດຕະບອງ</v>
          </cell>
          <cell r="T14" t="str">
            <v>ນະຄອນຫຼວງ</v>
          </cell>
          <cell r="X14" t="str">
            <v>ບໍ່ມີ</v>
          </cell>
          <cell r="Y14" t="str">
            <v>ລລ</v>
          </cell>
          <cell r="Z14" t="str">
            <v>ພຸດ</v>
          </cell>
          <cell r="AA14" t="str">
            <v>ບໍ່ມີ</v>
          </cell>
          <cell r="AB14">
            <v>38957</v>
          </cell>
          <cell r="AC14">
            <v>38957</v>
          </cell>
          <cell r="AE14">
            <v>39983</v>
          </cell>
          <cell r="AG14">
            <v>40351</v>
          </cell>
          <cell r="AI14">
            <v>33239</v>
          </cell>
          <cell r="AL14" t="str">
            <v>ຫົວໜ້າຈຸພັກ</v>
          </cell>
          <cell r="AM14" t="str">
            <v>ຫົວໜ້າພະແນກ</v>
          </cell>
          <cell r="AN14" t="str">
            <v>ມ 6</v>
          </cell>
          <cell r="AP14" t="str">
            <v>ຊກ</v>
          </cell>
          <cell r="AQ14" t="str">
            <v>ພາຍໃນ</v>
          </cell>
          <cell r="AR14" t="str">
            <v>ວິຊາສະເພາະ ປກສ ລະບົບ 03 ເດືອນ</v>
          </cell>
          <cell r="AS14" t="str">
            <v>ບໍາລຸງ</v>
          </cell>
          <cell r="AT14" t="str">
            <v>ໂຮງຮຽນ ປກສ ຊັ້ນສູງເລກII</v>
          </cell>
          <cell r="AU14" t="str">
            <v>03 ເດືອນ</v>
          </cell>
          <cell r="AV14">
            <v>2019</v>
          </cell>
          <cell r="AW14" t="str">
            <v>ປຕ</v>
          </cell>
          <cell r="AX14" t="str">
            <v>ພາຍໃນ</v>
          </cell>
          <cell r="AY14" t="str">
            <v>ກົດໝາຍແພ່ງ</v>
          </cell>
          <cell r="AZ14" t="str">
            <v>ກໍ່ສ້າງ</v>
          </cell>
          <cell r="BA14" t="str">
            <v>ມະຫາວິທະຍາໄລແຫ່ງຊາດ</v>
          </cell>
          <cell r="BB14" t="str">
            <v>2 ປີ</v>
          </cell>
          <cell r="BC14" t="str">
            <v>2015 - 2016</v>
          </cell>
          <cell r="BJ14" t="str">
            <v>ສູນທອນ</v>
          </cell>
          <cell r="BK14" t="str">
            <v>ຕ</v>
          </cell>
          <cell r="BQ14" t="str">
            <v>ແນມ</v>
          </cell>
          <cell r="BR14" t="str">
            <v>ຕ</v>
          </cell>
          <cell r="BX14" t="str">
            <v>ຄໍາຫຼ້າ ພັນວົງສາ</v>
          </cell>
          <cell r="BY14">
            <v>29281</v>
          </cell>
          <cell r="BZ14" t="str">
            <v>ຈັນສະຫວ່າງ</v>
          </cell>
          <cell r="CA14" t="str">
            <v>ສີໂຄດຕະບອງ</v>
          </cell>
          <cell r="CB14" t="str">
            <v>ນະຄອນຫຼວງ</v>
          </cell>
          <cell r="CC14" t="str">
            <v>ແມ່ເຮືອນ</v>
          </cell>
          <cell r="CE14">
            <v>3</v>
          </cell>
          <cell r="CF14">
            <v>95419545</v>
          </cell>
          <cell r="CH14" t="str">
            <v>ປົກຄອງ</v>
          </cell>
        </row>
        <row r="15">
          <cell r="G15" t="str">
            <v>ທ. ປທ ພອນໄຊ ລັດສະໝີ</v>
          </cell>
          <cell r="H15" t="str">
            <v>ພັທ</v>
          </cell>
          <cell r="J15" t="str">
            <v>ຊາຍ</v>
          </cell>
          <cell r="K15">
            <v>27154</v>
          </cell>
          <cell r="L15" t="str">
            <v>51 ປີ</v>
          </cell>
          <cell r="M15">
            <v>41967</v>
          </cell>
          <cell r="O15" t="str">
            <v>ປາກເໝືອຍ</v>
          </cell>
          <cell r="P15" t="str">
            <v>ແປກ</v>
          </cell>
          <cell r="Q15" t="str">
            <v>ຊຽງຂວາງ</v>
          </cell>
          <cell r="R15" t="str">
            <v>ໂພນສະຫວ່າງ</v>
          </cell>
          <cell r="S15" t="str">
            <v>ສີສັດຕະນາກ</v>
          </cell>
          <cell r="T15" t="str">
            <v>ນະຄອນຫຼວງ</v>
          </cell>
          <cell r="U15" t="str">
            <v>034</v>
          </cell>
          <cell r="V15" t="str">
            <v>ບໍໂອ</v>
          </cell>
          <cell r="X15" t="str">
            <v>01-08014800</v>
          </cell>
          <cell r="Y15" t="str">
            <v>ກຶມມຸ</v>
          </cell>
          <cell r="Z15" t="str">
            <v>ພຸດ</v>
          </cell>
          <cell r="AA15" t="str">
            <v>36912/ກພງ</v>
          </cell>
          <cell r="AB15">
            <v>34190</v>
          </cell>
          <cell r="AC15">
            <v>34190</v>
          </cell>
          <cell r="AE15">
            <v>36381</v>
          </cell>
          <cell r="AG15">
            <v>36895</v>
          </cell>
          <cell r="AI15">
            <v>32956</v>
          </cell>
          <cell r="AL15" t="str">
            <v>ຫົວໜ້າຈຸພັກ</v>
          </cell>
          <cell r="AM15" t="str">
            <v>ຫົວໜ້າພະແນກ</v>
          </cell>
          <cell r="AN15" t="str">
            <v>ມ 6</v>
          </cell>
          <cell r="AO15" t="str">
            <v>ຫວຽດນາມ, ອັງກິດ</v>
          </cell>
          <cell r="AP15" t="str">
            <v>ປທ</v>
          </cell>
          <cell r="AQ15" t="str">
            <v>ພາຍໃນ</v>
          </cell>
          <cell r="AR15" t="str">
            <v>ກົດໝາຍດໍາເນີນຄະດີອາຍາ</v>
          </cell>
          <cell r="AS15" t="str">
            <v>ເຊື່ອມຕໍ່</v>
          </cell>
          <cell r="AT15" t="str">
            <v>ວິທະຍາຄານສັນຕິບານປະຊາຊົນ</v>
          </cell>
          <cell r="AU15" t="str">
            <v>2 ປີ</v>
          </cell>
          <cell r="AV15" t="str">
            <v>2019 - 2021</v>
          </cell>
          <cell r="BD15" t="str">
            <v>ຂັ້ນສູງ</v>
          </cell>
          <cell r="BE15" t="str">
            <v>ທິດສະດີການເມືອງ</v>
          </cell>
          <cell r="BF15" t="str">
            <v>ບໍາລຸງ</v>
          </cell>
          <cell r="BG15" t="str">
            <v>ໂຮງຮຽນທິດສະດີການເມືອງ ປກສ</v>
          </cell>
          <cell r="BH15" t="str">
            <v>5 ເດືອນ</v>
          </cell>
          <cell r="BI15">
            <v>2015</v>
          </cell>
          <cell r="BJ15" t="str">
            <v>ຄໍາພັນ</v>
          </cell>
          <cell r="BK15" t="str">
            <v>ຕ</v>
          </cell>
          <cell r="BQ15" t="str">
            <v>ຮວງ</v>
          </cell>
          <cell r="BR15" t="str">
            <v>ຕ</v>
          </cell>
          <cell r="BX15" t="str">
            <v>ນ. ອຸດົມ ລັດສະໝີ</v>
          </cell>
          <cell r="BY15">
            <v>26333</v>
          </cell>
          <cell r="BZ15" t="str">
            <v>ໂພນສະຫວ່າງ</v>
          </cell>
          <cell r="CA15" t="str">
            <v>ສີສັດຕະນາກ</v>
          </cell>
          <cell r="CB15" t="str">
            <v>ນະຄອນຫຼວງ</v>
          </cell>
          <cell r="CC15" t="str">
            <v>ຄ້າຂາຍ</v>
          </cell>
          <cell r="CE15">
            <v>3</v>
          </cell>
          <cell r="CF15">
            <v>55112235</v>
          </cell>
          <cell r="CH15" t="str">
            <v>ສັນຕິບານ</v>
          </cell>
        </row>
        <row r="16">
          <cell r="G16" t="str">
            <v>ທ. ປທ ສົມພາວັນ ຫຼວງລາດ</v>
          </cell>
          <cell r="H16" t="str">
            <v>ພັທ</v>
          </cell>
          <cell r="J16" t="str">
            <v>ຊາຍ</v>
          </cell>
          <cell r="K16">
            <v>30560</v>
          </cell>
          <cell r="L16" t="str">
            <v>41 ປີ</v>
          </cell>
          <cell r="M16">
            <v>44615</v>
          </cell>
          <cell r="O16" t="str">
            <v>ຫົວຂົວ</v>
          </cell>
          <cell r="P16" t="str">
            <v>ໄຊເສດຖາ</v>
          </cell>
          <cell r="Q16" t="str">
            <v>ນະຄອນຫຼວງ</v>
          </cell>
          <cell r="R16" t="str">
            <v>ຫົວຂົວ</v>
          </cell>
          <cell r="S16" t="str">
            <v>ໄຊເສດຖາ</v>
          </cell>
          <cell r="T16" t="str">
            <v>ນະຄອນຫຼວງ</v>
          </cell>
          <cell r="U16" t="str">
            <v>130</v>
          </cell>
          <cell r="X16" t="str">
            <v>01-18010948</v>
          </cell>
          <cell r="Y16" t="str">
            <v>ລລ</v>
          </cell>
          <cell r="Z16" t="str">
            <v>ພຸດ</v>
          </cell>
          <cell r="AA16" t="str">
            <v>02345/ຈຕພງ</v>
          </cell>
          <cell r="AB16">
            <v>38745</v>
          </cell>
          <cell r="AC16">
            <v>38745</v>
          </cell>
          <cell r="AE16">
            <v>40436</v>
          </cell>
          <cell r="AG16">
            <v>40892</v>
          </cell>
          <cell r="AL16" t="str">
            <v>ຫົວໜ້າຈຸພັກ</v>
          </cell>
          <cell r="AM16" t="str">
            <v>ຫົວໜ້າສູນ</v>
          </cell>
          <cell r="AN16" t="str">
            <v>ມ 6</v>
          </cell>
          <cell r="AO16" t="str">
            <v>ອັງກິດ</v>
          </cell>
          <cell r="AP16" t="str">
            <v>ປທ</v>
          </cell>
          <cell r="AQ16" t="str">
            <v>ພາຍໃນ</v>
          </cell>
          <cell r="AR16" t="str">
            <v>ກໍ່ສ້າງພັກ</v>
          </cell>
          <cell r="AS16" t="str">
            <v>ເຊື່ອມຕໍ່</v>
          </cell>
          <cell r="AT16" t="str">
            <v>ວິທະຍາຄານປ້ອງກັນຊາດ ໄກສອນ ພົມວິຫານ</v>
          </cell>
          <cell r="AU16" t="str">
            <v>2 ປີ</v>
          </cell>
          <cell r="AV16" t="str">
            <v>2022 - 2024</v>
          </cell>
          <cell r="BJ16" t="str">
            <v>ສຸດສະຫງວນ</v>
          </cell>
          <cell r="BK16">
            <v>66</v>
          </cell>
          <cell r="BL16" t="str">
            <v>ຫົວຂົວ</v>
          </cell>
          <cell r="BM16" t="str">
            <v>ໄຊເສດຖາ</v>
          </cell>
          <cell r="BN16" t="str">
            <v>ນະຄອນຫຼວງ</v>
          </cell>
          <cell r="BO16" t="str">
            <v>ປະຊາຊົນ</v>
          </cell>
          <cell r="BQ16" t="str">
            <v>ສົມສະນຸກ</v>
          </cell>
          <cell r="BR16">
            <v>61</v>
          </cell>
          <cell r="BS16" t="str">
            <v>ຫົວຂົວ</v>
          </cell>
          <cell r="BT16" t="str">
            <v>ໄຊເສດຖາ</v>
          </cell>
          <cell r="BU16" t="str">
            <v>ນະຄອນຫຼວງ</v>
          </cell>
          <cell r="BV16" t="str">
            <v>ປະຊາຊົນ</v>
          </cell>
          <cell r="BX16" t="str">
            <v>ທອງດໍາ ອິນທະວົງ</v>
          </cell>
          <cell r="BY16">
            <v>35687</v>
          </cell>
          <cell r="BZ16" t="str">
            <v>ຫົວຂົວ</v>
          </cell>
          <cell r="CA16" t="str">
            <v>ໄຊເສດຖາ</v>
          </cell>
          <cell r="CB16" t="str">
            <v>ນະຄອນຫຼວງ</v>
          </cell>
          <cell r="CC16" t="str">
            <v>ຄູ</v>
          </cell>
          <cell r="CD16" t="str">
            <v>ບ້ານ ຊໍ້າເຄ້</v>
          </cell>
          <cell r="CE16">
            <v>3</v>
          </cell>
          <cell r="CF16">
            <v>95202870</v>
          </cell>
          <cell r="CH16" t="str">
            <v>ປົກຄອງ</v>
          </cell>
        </row>
        <row r="17">
          <cell r="G17" t="str">
            <v>ນ. ມຸກສາຄອນ ຄຳດວງສີ</v>
          </cell>
          <cell r="H17" t="str">
            <v>ພັທ</v>
          </cell>
          <cell r="I17" t="str">
            <v>ນ້ອຍ</v>
          </cell>
          <cell r="J17" t="str">
            <v>ຍິງ</v>
          </cell>
          <cell r="K17">
            <v>28932</v>
          </cell>
          <cell r="L17" t="str">
            <v>46 ປີ</v>
          </cell>
          <cell r="M17">
            <v>43193</v>
          </cell>
          <cell r="O17" t="str">
            <v>ໂພນປາເປົ້າ</v>
          </cell>
          <cell r="P17" t="str">
            <v>ສີສັດຕະນາກ</v>
          </cell>
          <cell r="Q17" t="str">
            <v>ນະຄອນຫຼວງ</v>
          </cell>
          <cell r="R17" t="str">
            <v>ທົ່ງພານທອງ</v>
          </cell>
          <cell r="S17" t="str">
            <v>ສີສັດຕະນາກ</v>
          </cell>
          <cell r="T17" t="str">
            <v>ນະຄອນຫຼວງ</v>
          </cell>
          <cell r="U17" t="str">
            <v>349</v>
          </cell>
          <cell r="W17" t="str">
            <v>04</v>
          </cell>
          <cell r="X17" t="str">
            <v>01-21004418</v>
          </cell>
          <cell r="Y17" t="str">
            <v>ລລ</v>
          </cell>
          <cell r="Z17" t="str">
            <v>ພຸດ</v>
          </cell>
          <cell r="AA17" t="str">
            <v>02332/ກພງ</v>
          </cell>
          <cell r="AB17">
            <v>34557</v>
          </cell>
          <cell r="AC17">
            <v>35653</v>
          </cell>
          <cell r="AE17">
            <v>39580</v>
          </cell>
          <cell r="AG17">
            <v>39976</v>
          </cell>
          <cell r="AI17">
            <v>35108</v>
          </cell>
          <cell r="AJ17">
            <v>35075</v>
          </cell>
          <cell r="AL17" t="str">
            <v>ຮອງຈຸພັກ</v>
          </cell>
          <cell r="AM17" t="str">
            <v>ຮອງຫົວໜ້າພະແນກ</v>
          </cell>
          <cell r="AN17" t="str">
            <v>ມ 6</v>
          </cell>
          <cell r="AO17" t="str">
            <v>ອັງກິດ</v>
          </cell>
          <cell r="AP17" t="str">
            <v>ຊກ</v>
          </cell>
          <cell r="AQ17" t="str">
            <v>ພາຍໃນ</v>
          </cell>
          <cell r="AR17" t="str">
            <v>ວິຊາສະເພາະ ປກສ ລະບົບ 03 ເດືອນ</v>
          </cell>
          <cell r="AS17" t="str">
            <v>ບໍາລຸງ</v>
          </cell>
          <cell r="AT17" t="str">
            <v>ໂຮງຮຽນ ປກສ ຊັ້ນກາງ ແຂວງ ຫຼວງພະບາງ</v>
          </cell>
          <cell r="AU17" t="str">
            <v>03 ເດືອນ</v>
          </cell>
          <cell r="AV17">
            <v>2017</v>
          </cell>
          <cell r="AW17" t="str">
            <v>ປຕ</v>
          </cell>
          <cell r="AX17" t="str">
            <v>ພາຍໃນ</v>
          </cell>
          <cell r="AY17" t="str">
            <v>ອັກສອນສາດ</v>
          </cell>
          <cell r="AZ17" t="str">
            <v>ກໍ່ສ້າງ</v>
          </cell>
          <cell r="BA17" t="str">
            <v>ມະຫາວິທະຍາໄລແຫ່ງຊາດ</v>
          </cell>
          <cell r="BB17" t="str">
            <v>5 ປີ</v>
          </cell>
          <cell r="BC17" t="str">
            <v>2004 - 2009</v>
          </cell>
          <cell r="BJ17" t="str">
            <v>ສົມຄໍາ ຄໍາດວງສີ</v>
          </cell>
          <cell r="BK17" t="str">
            <v>ຕ</v>
          </cell>
          <cell r="BQ17" t="str">
            <v>ສີດາ ຄໍາດວງສີ</v>
          </cell>
          <cell r="BR17">
            <v>78</v>
          </cell>
          <cell r="BS17" t="str">
            <v>ທົ່ງພານທອງ</v>
          </cell>
          <cell r="BT17" t="str">
            <v>ສີສັດຕະນາກ</v>
          </cell>
          <cell r="BU17" t="str">
            <v>ນະຄອນຫຼວງ</v>
          </cell>
          <cell r="BV17" t="str">
            <v>ທະຫານ ບໍານານ</v>
          </cell>
          <cell r="BW17" t="str">
            <v>ວິທະຍາຄານການແພດກອງທັບ</v>
          </cell>
          <cell r="BX17" t="str">
            <v>ຈິດຕະພົງ ຈິດຖາວອນ</v>
          </cell>
          <cell r="BY17">
            <v>28487</v>
          </cell>
          <cell r="BZ17" t="str">
            <v>ທົ່ງພານທອງ</v>
          </cell>
          <cell r="CA17" t="str">
            <v>ສີສັດຕະນາກ</v>
          </cell>
          <cell r="CB17" t="str">
            <v>ນະຄອນຫຼວງ</v>
          </cell>
          <cell r="CC17" t="str">
            <v>ຕໍາຫຼວດ</v>
          </cell>
          <cell r="CD17" t="str">
            <v>ປກສ ເມືອງໄຊເສດຖາ</v>
          </cell>
          <cell r="CE17">
            <v>2</v>
          </cell>
          <cell r="CF17">
            <v>29479895</v>
          </cell>
          <cell r="CH17" t="str">
            <v>ປົກຄອງ</v>
          </cell>
        </row>
        <row r="18">
          <cell r="G18" t="str">
            <v>ນ. ຈັນສະໝອນ ລີວົງສາ</v>
          </cell>
          <cell r="H18" t="str">
            <v>ພັທ</v>
          </cell>
          <cell r="I18" t="str">
            <v>ດອນ</v>
          </cell>
          <cell r="J18" t="str">
            <v>ຍິງ</v>
          </cell>
          <cell r="K18">
            <v>31733</v>
          </cell>
          <cell r="L18" t="str">
            <v>38 ປີ</v>
          </cell>
          <cell r="M18">
            <v>45618</v>
          </cell>
          <cell r="O18" t="str">
            <v>ໂພນສະຫວັນ</v>
          </cell>
          <cell r="P18" t="str">
            <v>ສີສັດຕະນາກ</v>
          </cell>
          <cell r="Q18" t="str">
            <v>ນະຄອນຫຼວງ</v>
          </cell>
          <cell r="R18" t="str">
            <v>ສີວິໄລ</v>
          </cell>
          <cell r="S18" t="str">
            <v>ໄຊທານີ</v>
          </cell>
          <cell r="T18" t="str">
            <v>ນະຄອນຫຼວງ</v>
          </cell>
          <cell r="U18" t="str">
            <v>114</v>
          </cell>
          <cell r="X18" t="str">
            <v>ບໍ່ມີ</v>
          </cell>
          <cell r="Y18" t="str">
            <v>ລລ</v>
          </cell>
          <cell r="Z18" t="str">
            <v>ພຸດ</v>
          </cell>
          <cell r="AA18" t="str">
            <v>ບໍ່ມີ</v>
          </cell>
          <cell r="AB18">
            <v>38729</v>
          </cell>
          <cell r="AC18">
            <v>38729</v>
          </cell>
          <cell r="AE18">
            <v>41989</v>
          </cell>
          <cell r="AG18">
            <v>42411</v>
          </cell>
          <cell r="AI18">
            <v>37705</v>
          </cell>
          <cell r="AJ18">
            <v>37767</v>
          </cell>
          <cell r="AL18" t="str">
            <v>ຮອງຈຸພັກ</v>
          </cell>
          <cell r="AM18" t="str">
            <v>ຮອງຫົວໜ້າພະແນກ</v>
          </cell>
          <cell r="AN18" t="str">
            <v>ມ 6</v>
          </cell>
          <cell r="AP18" t="str">
            <v>ປຕ</v>
          </cell>
          <cell r="AR18" t="str">
            <v>ສະຖາປັດ</v>
          </cell>
          <cell r="AS18" t="str">
            <v>ກໍ່ສ້າງ</v>
          </cell>
          <cell r="AT18" t="str">
            <v>ມະຫາວິທະຍາໄລແຫ່ງຊາດ</v>
          </cell>
          <cell r="AU18" t="str">
            <v>5 ປີ</v>
          </cell>
          <cell r="AV18" t="str">
            <v>2008 - 2012</v>
          </cell>
          <cell r="BJ18" t="str">
            <v>ຄໍາສາຍ ສີວົງສາ</v>
          </cell>
          <cell r="BK18">
            <v>69</v>
          </cell>
          <cell r="BL18" t="str">
            <v>ສີວິໄລ</v>
          </cell>
          <cell r="BM18" t="str">
            <v>ໄຊທານີ</v>
          </cell>
          <cell r="BN18" t="str">
            <v>ນະຄອນຫຼວງ</v>
          </cell>
          <cell r="BO18" t="str">
            <v>ພະນັກງານ ບໍານານ</v>
          </cell>
          <cell r="BP18" t="str">
            <v>ກົມໃຫຍ່ສັນຕິບານ</v>
          </cell>
          <cell r="BQ18" t="str">
            <v>ຄໍາແພງ ສີວົງສາ</v>
          </cell>
          <cell r="BR18">
            <v>67</v>
          </cell>
          <cell r="BS18" t="str">
            <v>ສີວິໄລ</v>
          </cell>
          <cell r="BT18" t="str">
            <v>ໄຊທານີ</v>
          </cell>
          <cell r="BU18" t="str">
            <v>ນະຄອນຫຼວງ</v>
          </cell>
          <cell r="BV18" t="str">
            <v>ພະນັກງານ ບໍານານ</v>
          </cell>
          <cell r="BW18" t="str">
            <v>ກົມຄຸ້ມຄອງສໍາມະໂນຄົວ ແລະ ກໍ່ສ້າງຮາກຖານ</v>
          </cell>
          <cell r="BX18" t="str">
            <v>ພອນໄຊ ສີສຸວັນ</v>
          </cell>
          <cell r="BY18">
            <v>28774</v>
          </cell>
          <cell r="BZ18" t="str">
            <v>ສີວິໄລ</v>
          </cell>
          <cell r="CA18" t="str">
            <v>ໄຊທານີ</v>
          </cell>
          <cell r="CB18" t="str">
            <v>ນະຄອນຫຼວງ</v>
          </cell>
          <cell r="CC18" t="str">
            <v>ຕໍາຫຼວດ</v>
          </cell>
          <cell r="CE18">
            <v>3</v>
          </cell>
          <cell r="CF18">
            <v>28995516</v>
          </cell>
          <cell r="CH18" t="str">
            <v>ປົກຄອງ</v>
          </cell>
        </row>
        <row r="19">
          <cell r="G19" t="str">
            <v>ທ. ພອນສະຫວັນ ພົມຫຼ້າວົງ</v>
          </cell>
          <cell r="H19" t="str">
            <v>ພັທ</v>
          </cell>
          <cell r="J19" t="str">
            <v>ຊາຍ</v>
          </cell>
          <cell r="K19">
            <v>25129</v>
          </cell>
          <cell r="L19" t="str">
            <v>56 ປີ</v>
          </cell>
          <cell r="M19">
            <v>43432</v>
          </cell>
          <cell r="O19" t="str">
            <v>ຊຽງແມນ</v>
          </cell>
          <cell r="P19" t="str">
            <v>ວຽງໄຊ</v>
          </cell>
          <cell r="Q19" t="str">
            <v>ຫົວພັນ</v>
          </cell>
          <cell r="R19" t="str">
            <v>ແສງສະຫວ່າງ</v>
          </cell>
          <cell r="S19" t="str">
            <v>ໄຊເສດຖາ</v>
          </cell>
          <cell r="T19" t="str">
            <v>ນະຄອນຫຼວງ</v>
          </cell>
          <cell r="U19" t="str">
            <v>595</v>
          </cell>
          <cell r="V19" t="str">
            <v>ດົງຈອງ</v>
          </cell>
          <cell r="X19" t="str">
            <v>ບໍ່ມີ</v>
          </cell>
          <cell r="Y19" t="str">
            <v>ລລ</v>
          </cell>
          <cell r="Z19" t="str">
            <v>ພຸດ</v>
          </cell>
          <cell r="AA19" t="str">
            <v>02325/ກພງ</v>
          </cell>
          <cell r="AB19">
            <v>33771</v>
          </cell>
          <cell r="AC19">
            <v>33771</v>
          </cell>
          <cell r="AE19">
            <v>39534</v>
          </cell>
          <cell r="AG19">
            <v>41225</v>
          </cell>
          <cell r="AL19" t="str">
            <v>ຮອງຈຸພັກ</v>
          </cell>
          <cell r="AM19" t="str">
            <v>ຮອງສູນ</v>
          </cell>
          <cell r="AN19" t="str">
            <v>ມ 6</v>
          </cell>
          <cell r="AP19" t="str">
            <v>ຊກ</v>
          </cell>
          <cell r="AR19" t="str">
            <v>ສ້າງແສງ</v>
          </cell>
          <cell r="AS19" t="str">
            <v>ກໍ່ສ້າງ</v>
          </cell>
          <cell r="AT19" t="str">
            <v>ປະສານເຫຼົ່າ ບ້ານແປນ</v>
          </cell>
          <cell r="AU19" t="str">
            <v>3 ປີ</v>
          </cell>
          <cell r="AV19" t="str">
            <v>1986 - 1988</v>
          </cell>
          <cell r="BX19" t="str">
            <v>ຈັນສະໝຸດ ພົມຫຼ້າວົງ</v>
          </cell>
          <cell r="BY19">
            <v>27707</v>
          </cell>
          <cell r="BZ19" t="str">
            <v>ແສງສະຫວ່າງ</v>
          </cell>
          <cell r="CA19" t="str">
            <v>ໄຊເສດຖາ</v>
          </cell>
          <cell r="CB19" t="str">
            <v>ນະຄອນຫຼວງ</v>
          </cell>
          <cell r="CC19" t="str">
            <v>ຕໍຫຼວດ</v>
          </cell>
          <cell r="CD19" t="str">
            <v>ກົມໃຫຍ່ພະລາທິການ</v>
          </cell>
          <cell r="CE19">
            <v>3</v>
          </cell>
          <cell r="CF19">
            <v>22459593</v>
          </cell>
          <cell r="CH19" t="str">
            <v>ທະຫານ</v>
          </cell>
        </row>
        <row r="20">
          <cell r="G20" t="str">
            <v>ທ. ຄຳພູວົງ ໄຊຍະຄຳ</v>
          </cell>
          <cell r="H20" t="str">
            <v>ພັຕ</v>
          </cell>
          <cell r="I20" t="str">
            <v>ຕ່າຍ</v>
          </cell>
          <cell r="J20" t="str">
            <v>ຊາຍ</v>
          </cell>
          <cell r="K20">
            <v>32672</v>
          </cell>
          <cell r="L20" t="str">
            <v>35 ປີ</v>
          </cell>
          <cell r="M20">
            <v>45373</v>
          </cell>
          <cell r="O20" t="str">
            <v>ທາດຫຼວງ</v>
          </cell>
          <cell r="P20" t="str">
            <v>ໄຊເສດຖາ</v>
          </cell>
          <cell r="Q20" t="str">
            <v>ນະຄອນຫຼວງ</v>
          </cell>
          <cell r="R20" t="str">
            <v>ທາດຫຼວງ</v>
          </cell>
          <cell r="S20" t="str">
            <v>ໄຊເສດຖາ</v>
          </cell>
          <cell r="T20" t="str">
            <v>ນະຄອນຫຼວງ</v>
          </cell>
          <cell r="U20" t="str">
            <v>035</v>
          </cell>
          <cell r="W20" t="str">
            <v>01</v>
          </cell>
          <cell r="X20" t="str">
            <v>ບໍ່ມີ</v>
          </cell>
          <cell r="Y20" t="str">
            <v>ລລ</v>
          </cell>
          <cell r="Z20" t="str">
            <v>ພຸດ</v>
          </cell>
          <cell r="AA20" t="str">
            <v>36913/ກພງ</v>
          </cell>
          <cell r="AB20">
            <v>39899</v>
          </cell>
          <cell r="AC20">
            <v>39899</v>
          </cell>
          <cell r="AE20">
            <v>42632</v>
          </cell>
          <cell r="AG20">
            <v>43024</v>
          </cell>
          <cell r="AI20">
            <v>38357</v>
          </cell>
          <cell r="AL20" t="str">
            <v>ຫົວໜ້າຈຸພັກ</v>
          </cell>
          <cell r="AM20" t="str">
            <v>ຮອງຫົວໜ້າພະແນກ</v>
          </cell>
          <cell r="AN20" t="str">
            <v>ມ 6</v>
          </cell>
          <cell r="AP20" t="str">
            <v>ປຕ</v>
          </cell>
          <cell r="AQ20" t="str">
            <v>ພາຍໃນ</v>
          </cell>
          <cell r="AR20" t="str">
            <v>ສຶບສວນ-ສອບສວນ</v>
          </cell>
          <cell r="AS20" t="str">
            <v>ກໍ່ສ້າງ</v>
          </cell>
          <cell r="AT20" t="str">
            <v>ວປສ ແຫ່ງຊາດ</v>
          </cell>
          <cell r="AU20" t="str">
            <v>5 ປີ</v>
          </cell>
          <cell r="AV20" t="str">
            <v>2012 - 2016</v>
          </cell>
          <cell r="BJ20" t="str">
            <v>ບຸນທະວີ ໄຊຍະຄໍາ</v>
          </cell>
          <cell r="BK20" t="str">
            <v>ຕ</v>
          </cell>
          <cell r="BQ20" t="str">
            <v>ໂມພອນ</v>
          </cell>
          <cell r="BR20">
            <v>65</v>
          </cell>
          <cell r="BS20" t="str">
            <v>ທາດຫຼວງກາງ</v>
          </cell>
          <cell r="BT20" t="str">
            <v>ໄຊເສດຖາ</v>
          </cell>
          <cell r="BU20" t="str">
            <v>ນະຄອນຫຼວງ</v>
          </cell>
          <cell r="BV20" t="str">
            <v>ປະຊາຊົນ</v>
          </cell>
          <cell r="BX20" t="str">
            <v>ອໍາພອນ ຫຼວງພັງ</v>
          </cell>
          <cell r="BZ20" t="str">
            <v>ທາດຫຼວງ</v>
          </cell>
          <cell r="CA20" t="str">
            <v>ໄຊເສດຖາ</v>
          </cell>
          <cell r="CB20" t="str">
            <v>ນະຄອນຫຼວງ</v>
          </cell>
          <cell r="CC20" t="str">
            <v>ປະຊາຊົນ</v>
          </cell>
          <cell r="CE20">
            <v>2</v>
          </cell>
          <cell r="CF20">
            <v>99555750</v>
          </cell>
          <cell r="CH20" t="str">
            <v>ສັນຕິບານ</v>
          </cell>
        </row>
        <row r="21">
          <cell r="G21" t="str">
            <v>ທ. ວິລະພົນ ດວງພອນໄຊ</v>
          </cell>
          <cell r="H21" t="str">
            <v>ພັຕ</v>
          </cell>
          <cell r="J21" t="str">
            <v>ຊາຍ</v>
          </cell>
          <cell r="K21">
            <v>31836</v>
          </cell>
          <cell r="L21" t="str">
            <v>38 ປີ</v>
          </cell>
          <cell r="M21">
            <v>45240</v>
          </cell>
          <cell r="O21" t="str">
            <v>ບຶງຂະຫຍອງ</v>
          </cell>
          <cell r="P21" t="str">
            <v>ສີສັດຕະນາກ</v>
          </cell>
          <cell r="Q21" t="str">
            <v>ນະຄອນຫຼວງ</v>
          </cell>
          <cell r="R21" t="str">
            <v>ບຶງຂະຫຍອງ</v>
          </cell>
          <cell r="S21" t="str">
            <v>ສີສັດຕະນາກ</v>
          </cell>
          <cell r="T21" t="str">
            <v>ນະຄອນຫຼວງ</v>
          </cell>
          <cell r="U21" t="str">
            <v>129</v>
          </cell>
          <cell r="V21" t="str">
            <v>ຄູວຽງ</v>
          </cell>
          <cell r="W21" t="str">
            <v>02</v>
          </cell>
          <cell r="X21" t="str">
            <v>01-23101767</v>
          </cell>
          <cell r="Y21" t="str">
            <v>ລລ</v>
          </cell>
          <cell r="Z21" t="str">
            <v>ພຸດ</v>
          </cell>
          <cell r="AA21" t="str">
            <v>25527/ກພງ</v>
          </cell>
          <cell r="AB21">
            <v>38664</v>
          </cell>
          <cell r="AC21">
            <v>38664</v>
          </cell>
          <cell r="AE21">
            <v>40795</v>
          </cell>
          <cell r="AG21">
            <v>41300</v>
          </cell>
          <cell r="AI21">
            <v>38045</v>
          </cell>
          <cell r="AL21" t="str">
            <v>ຮອງຈຸພັກ</v>
          </cell>
          <cell r="AM21" t="str">
            <v>ຮອງຫົວໜ້າພະແນກ</v>
          </cell>
          <cell r="AN21" t="str">
            <v>ມ 6</v>
          </cell>
          <cell r="AO21" t="str">
            <v>ຫວຽດນາມ</v>
          </cell>
          <cell r="AP21" t="str">
            <v>ປຕ</v>
          </cell>
          <cell r="AQ21" t="str">
            <v>ຕ່າງປະເທດ</v>
          </cell>
          <cell r="AR21" t="str">
            <v>ດັບເພີງ</v>
          </cell>
          <cell r="AS21" t="str">
            <v>ກໍ່ສ້າງ</v>
          </cell>
          <cell r="AT21" t="str">
            <v>ມະຫາວິທະຍາໄລສະກັດກັ້ນ ແລະ ຕ້ານອັກຄິໄພ ສສ ຫວຽດນາມ</v>
          </cell>
          <cell r="AU21" t="str">
            <v>7 ປີ</v>
          </cell>
          <cell r="AV21" t="str">
            <v>2009 - 2017</v>
          </cell>
          <cell r="BD21" t="str">
            <v>ຂັ້ນຕົ້ນ</v>
          </cell>
          <cell r="BE21" t="str">
            <v>ທິດສະດີມາກ-ເລນິນ, ແນວຄິດປະທານ ໂຮຈີມິງ</v>
          </cell>
          <cell r="BF21" t="str">
            <v>ບໍາລຸງ</v>
          </cell>
          <cell r="BG21" t="str">
            <v>ມະຫາວິທະຍາໄລສະກັດກັ້ນ ແລະ ຕ້ານອັກຄິໄພ ສສ ຫວຽດນາມ</v>
          </cell>
          <cell r="BH21" t="str">
            <v>45 ວັນ</v>
          </cell>
          <cell r="BI21">
            <v>2015</v>
          </cell>
          <cell r="BJ21" t="str">
            <v>ຕ</v>
          </cell>
          <cell r="BQ21" t="str">
            <v>ຄໍາອ້ວນ ດວງພອນໄຊ</v>
          </cell>
          <cell r="BR21">
            <v>61</v>
          </cell>
          <cell r="BS21" t="str">
            <v>ບຶງຂະຫຍອງ</v>
          </cell>
          <cell r="BT21" t="str">
            <v>ສີສັດຕະນາກ</v>
          </cell>
          <cell r="BU21" t="str">
            <v>ນະຄອນຫຼວງ</v>
          </cell>
          <cell r="BV21" t="str">
            <v>ຕໍາຫຼວດ (ບໍານານ)</v>
          </cell>
          <cell r="BW21" t="str">
            <v>ກົມໃຫຍ່ສັນຕິບານ ກະຊວງປ້ອງກັນຄວາມສະຫງົບ</v>
          </cell>
          <cell r="BX21" t="str">
            <v>ພວງມະລີ ຜົງໄຊຊະນິດ</v>
          </cell>
          <cell r="BY21">
            <v>35695</v>
          </cell>
          <cell r="BZ21" t="str">
            <v>ບຶງຂະຫຍອງ</v>
          </cell>
          <cell r="CA21" t="str">
            <v>ສີສັດຕະນາກ</v>
          </cell>
          <cell r="CB21" t="str">
            <v>ນະຄອນຫຼວງ</v>
          </cell>
          <cell r="CC21" t="str">
            <v>ປະຊາຊົນ</v>
          </cell>
          <cell r="CE21">
            <v>2</v>
          </cell>
          <cell r="CF21">
            <v>52947098</v>
          </cell>
          <cell r="CH21" t="str">
            <v>ຕໍາຫຼວດ</v>
          </cell>
        </row>
        <row r="22">
          <cell r="G22" t="str">
            <v>ນ. ອາມິຕາ ມາໄລພອນ</v>
          </cell>
          <cell r="H22" t="str">
            <v>ພັຕ</v>
          </cell>
          <cell r="I22" t="str">
            <v>ອວດ</v>
          </cell>
          <cell r="J22" t="str">
            <v>ຍິງ</v>
          </cell>
          <cell r="K22">
            <v>31959</v>
          </cell>
          <cell r="L22" t="str">
            <v>37 ປີ</v>
          </cell>
          <cell r="M22">
            <v>45618</v>
          </cell>
          <cell r="O22" t="str">
            <v>ນາແທນ</v>
          </cell>
          <cell r="P22" t="str">
            <v>ວຽງໄຊ</v>
          </cell>
          <cell r="Q22" t="str">
            <v>ຫົວພັນ</v>
          </cell>
          <cell r="R22" t="str">
            <v>ໂສກປາຫຼວງ</v>
          </cell>
          <cell r="S22" t="str">
            <v>ສີສັກຕະນາກ</v>
          </cell>
          <cell r="T22" t="str">
            <v>ນະຄອນຫຼວງ</v>
          </cell>
          <cell r="U22" t="str">
            <v>034</v>
          </cell>
          <cell r="V22" t="str">
            <v>ສາມແສນໄທ</v>
          </cell>
          <cell r="W22" t="str">
            <v>02</v>
          </cell>
          <cell r="X22" t="str">
            <v>01-20031988</v>
          </cell>
          <cell r="Y22" t="str">
            <v>ລລ</v>
          </cell>
          <cell r="Z22" t="str">
            <v>ພຸດ</v>
          </cell>
          <cell r="AA22" t="str">
            <v>ບໍ່ມີ</v>
          </cell>
          <cell r="AB22">
            <v>38961</v>
          </cell>
          <cell r="AC22">
            <v>38961</v>
          </cell>
          <cell r="AE22">
            <v>42590</v>
          </cell>
          <cell r="AG22">
            <v>42961</v>
          </cell>
          <cell r="AI22">
            <v>37665</v>
          </cell>
          <cell r="AJ22">
            <v>38698</v>
          </cell>
          <cell r="AL22" t="str">
            <v>ຮອງຈຸພັກ</v>
          </cell>
          <cell r="AM22" t="str">
            <v>ຮອງຫົວໜ້າພະແນກ</v>
          </cell>
          <cell r="AN22" t="str">
            <v>ມ 6</v>
          </cell>
          <cell r="AP22" t="str">
            <v>ປຕ</v>
          </cell>
          <cell r="AR22" t="str">
            <v>ການພົວພັນສາກົນ</v>
          </cell>
          <cell r="AS22" t="str">
            <v>ກໍ່ສ້າງ</v>
          </cell>
          <cell r="AT22" t="str">
            <v>ມະຫາວິທະຍາໄລ ແຫ່ງຊາດ</v>
          </cell>
          <cell r="AU22" t="str">
            <v>5 ປີ</v>
          </cell>
          <cell r="AV22" t="str">
            <v>2010 - 2015</v>
          </cell>
          <cell r="BJ22" t="str">
            <v>ຄໍາແສນ</v>
          </cell>
          <cell r="BK22" t="str">
            <v>ຕ</v>
          </cell>
          <cell r="BQ22" t="str">
            <v>ລໍາພອນ ແສນບົວພອນ</v>
          </cell>
          <cell r="BR22">
            <v>66</v>
          </cell>
          <cell r="BS22" t="str">
            <v>ໄຮ່</v>
          </cell>
          <cell r="BT22" t="str">
            <v>ໄຊທານີ</v>
          </cell>
          <cell r="BU22" t="str">
            <v>ນະຄອນຫຼວງ</v>
          </cell>
          <cell r="BV22" t="str">
            <v>ທະຫານ ບໍານານ</v>
          </cell>
          <cell r="BX22" t="str">
            <v>ພູມສະຫວັນ ອິນທະວົງ</v>
          </cell>
          <cell r="BY22">
            <v>33464</v>
          </cell>
          <cell r="BZ22" t="str">
            <v>ໂສກປ່າຫຼວງ</v>
          </cell>
          <cell r="CA22" t="str">
            <v>ສີສັດຕະນາກ</v>
          </cell>
          <cell r="CB22" t="str">
            <v>ນະຄອນຫຼວງ</v>
          </cell>
          <cell r="CC22" t="str">
            <v>ຄ້າຂາຍ</v>
          </cell>
          <cell r="CE22">
            <v>0</v>
          </cell>
          <cell r="CF22">
            <v>29988478</v>
          </cell>
          <cell r="CH22" t="str">
            <v>ປົກຄອງ</v>
          </cell>
        </row>
        <row r="23">
          <cell r="G23" t="str">
            <v>ທ. ກົງແສງ ສາວໄພອ່ອນ</v>
          </cell>
          <cell r="H23" t="str">
            <v>ພັຕ</v>
          </cell>
          <cell r="I23" t="str">
            <v>ລ່າ</v>
          </cell>
          <cell r="J23" t="str">
            <v>ຊາຍ</v>
          </cell>
          <cell r="K23">
            <v>33002</v>
          </cell>
          <cell r="L23" t="str">
            <v>35 ປີ</v>
          </cell>
          <cell r="M23">
            <v>45240</v>
          </cell>
          <cell r="O23" t="str">
            <v>ຫ້ວຍທົນ</v>
          </cell>
          <cell r="P23" t="str">
            <v>ໂພນໂຮງ</v>
          </cell>
          <cell r="Q23" t="str">
            <v>ວຽງຈັນ</v>
          </cell>
          <cell r="R23" t="str">
            <v>ໂຊກນ້ອຍ</v>
          </cell>
          <cell r="S23" t="str">
            <v>ໄຊເສດຖາ</v>
          </cell>
          <cell r="T23" t="str">
            <v>ນະຄອນຫຼວງ</v>
          </cell>
          <cell r="W23" t="str">
            <v>04</v>
          </cell>
          <cell r="X23" t="str">
            <v>ບໍ່ມີ</v>
          </cell>
          <cell r="Y23" t="str">
            <v>ລລ</v>
          </cell>
          <cell r="Z23" t="str">
            <v>ພຸດ</v>
          </cell>
          <cell r="AA23" t="str">
            <v>ບໍ່ມີ</v>
          </cell>
          <cell r="AB23">
            <v>39322</v>
          </cell>
          <cell r="AC23">
            <v>39322</v>
          </cell>
          <cell r="AE23">
            <v>42516</v>
          </cell>
          <cell r="AG23">
            <v>42892</v>
          </cell>
          <cell r="AI23">
            <v>38139</v>
          </cell>
          <cell r="AL23" t="str">
            <v>ສະມາຊິກ</v>
          </cell>
          <cell r="AM23" t="str">
            <v>ຮອງຫົວໜ້າພະແນກ, ຜູ້ຊ່ວຍຮອງກົມໃຫຍ່</v>
          </cell>
          <cell r="AN23" t="str">
            <v>ມ 6</v>
          </cell>
          <cell r="AO23" t="str">
            <v>ຫວຽດນາມ</v>
          </cell>
          <cell r="AP23" t="str">
            <v>ປຕ</v>
          </cell>
          <cell r="AQ23" t="str">
            <v>ຕ່າງປະເທດ</v>
          </cell>
          <cell r="AR23" t="str">
            <v>ການເມືອງ</v>
          </cell>
          <cell r="AS23" t="str">
            <v>ກໍ່ສ້າງ</v>
          </cell>
          <cell r="AT23" t="str">
            <v>ສະຖາບັນໂຄສະນາ</v>
          </cell>
          <cell r="AU23" t="str">
            <v>6 ປີ</v>
          </cell>
          <cell r="AV23" t="str">
            <v>2011 - 2016</v>
          </cell>
          <cell r="BD23" t="str">
            <v>ປຕ</v>
          </cell>
          <cell r="BE23" t="str">
            <v>ຄຸ້ມຄອງສັງຄົມ</v>
          </cell>
          <cell r="BF23" t="str">
            <v>ກໍ່ສ້າງ</v>
          </cell>
          <cell r="BG23" t="str">
            <v>ສະຖາບັນໂຄສະນາ</v>
          </cell>
          <cell r="BH23" t="str">
            <v>6 ປີ</v>
          </cell>
          <cell r="BI23" t="str">
            <v>2011 - 2016</v>
          </cell>
          <cell r="BJ23" t="str">
            <v>ບົວແກ້ວ</v>
          </cell>
          <cell r="BK23">
            <v>61</v>
          </cell>
          <cell r="BL23" t="str">
            <v>ຫ້ວຍທົນ</v>
          </cell>
          <cell r="BM23" t="str">
            <v>ໂພນໂຮງ</v>
          </cell>
          <cell r="BN23" t="str">
            <v>ວຽງຈັນ</v>
          </cell>
          <cell r="BO23" t="str">
            <v>ບໍານານ</v>
          </cell>
          <cell r="BQ23" t="str">
            <v>ຄໍາຜິວ</v>
          </cell>
          <cell r="BR23">
            <v>58</v>
          </cell>
          <cell r="BS23" t="str">
            <v>ຫ້ວຍທົນ</v>
          </cell>
          <cell r="BT23" t="str">
            <v>ໂພນໂຮງ</v>
          </cell>
          <cell r="BU23" t="str">
            <v>ວຽງຈັນ</v>
          </cell>
          <cell r="BV23" t="str">
            <v>ບໍານານ</v>
          </cell>
          <cell r="BX23" t="str">
            <v>ແສງໄພວັນ ຈັນທະພອນ</v>
          </cell>
          <cell r="BY23">
            <v>32738</v>
          </cell>
          <cell r="BZ23" t="str">
            <v>ໂຊກນ້ອຍ</v>
          </cell>
          <cell r="CA23" t="str">
            <v>ໄຊເສດຖາ</v>
          </cell>
          <cell r="CB23" t="str">
            <v>ນະຄອນຫຼວງ</v>
          </cell>
          <cell r="CC23" t="str">
            <v>ຕໍາຫຼວດ</v>
          </cell>
          <cell r="CD23" t="str">
            <v>ປກສ ນະຄອນຫຼວງ</v>
          </cell>
          <cell r="CE23">
            <v>0</v>
          </cell>
          <cell r="CF23">
            <v>56789402</v>
          </cell>
          <cell r="CH23" t="str">
            <v>ປົກຄອງ</v>
          </cell>
        </row>
        <row r="24">
          <cell r="G24" t="str">
            <v>ທ. ສຸກສາຄອນ ທະວີສິງ</v>
          </cell>
          <cell r="H24" t="str">
            <v>ພັຕ</v>
          </cell>
          <cell r="I24" t="str">
            <v>ຈ້ອນ</v>
          </cell>
          <cell r="J24" t="str">
            <v>ຊາຍ</v>
          </cell>
          <cell r="K24">
            <v>32195</v>
          </cell>
          <cell r="L24" t="str">
            <v>37 ປີ</v>
          </cell>
          <cell r="M24">
            <v>45240</v>
          </cell>
          <cell r="O24" t="str">
            <v>ທາດຫຼວງໃຕ້</v>
          </cell>
          <cell r="P24" t="str">
            <v>ໄຊເສດຖາ</v>
          </cell>
          <cell r="Q24" t="str">
            <v>ນະຄອນຫຼວງ</v>
          </cell>
          <cell r="R24" t="str">
            <v>ໂພນປາເປົ້າ</v>
          </cell>
          <cell r="S24" t="str">
            <v>ສີສັດຕະນາກ</v>
          </cell>
          <cell r="T24" t="str">
            <v>ນະຄອນຫຼວງ</v>
          </cell>
          <cell r="X24" t="str">
            <v>ບໍ່ມີ</v>
          </cell>
          <cell r="Y24" t="str">
            <v>ລລ</v>
          </cell>
          <cell r="Z24" t="str">
            <v>ພຸດ</v>
          </cell>
          <cell r="AA24" t="str">
            <v>25528/ກພງ</v>
          </cell>
          <cell r="AB24">
            <v>40214</v>
          </cell>
          <cell r="AC24">
            <v>40214</v>
          </cell>
          <cell r="AE24">
            <v>42039</v>
          </cell>
          <cell r="AG24">
            <v>42562</v>
          </cell>
          <cell r="AI24">
            <v>38589</v>
          </cell>
          <cell r="AL24" t="str">
            <v>ສະມາຊິກ</v>
          </cell>
          <cell r="AM24" t="str">
            <v>ຮອງຫົວໜ້າພະແນກ</v>
          </cell>
          <cell r="AN24" t="str">
            <v>ມ 6</v>
          </cell>
          <cell r="AP24" t="str">
            <v>ຊສ</v>
          </cell>
          <cell r="AQ24" t="str">
            <v>ພາຍໃນ</v>
          </cell>
          <cell r="AR24" t="str">
            <v>ວິຊາສະເພາະ ປກສ ທົ່ວໄປ</v>
          </cell>
          <cell r="AS24" t="str">
            <v>ບໍາລຸງ</v>
          </cell>
          <cell r="AT24" t="str">
            <v>ວິທະຍາຄານ ວສປ</v>
          </cell>
          <cell r="AU24" t="str">
            <v>06 ເດືອນ</v>
          </cell>
          <cell r="AV24">
            <v>2024</v>
          </cell>
          <cell r="BJ24" t="str">
            <v>ສອນ ທະວີສິງ</v>
          </cell>
          <cell r="BK24">
            <v>64</v>
          </cell>
          <cell r="BL24" t="str">
            <v>ໂຊກຄໍາ</v>
          </cell>
          <cell r="BM24" t="str">
            <v>ໄຊເສດຖາ</v>
          </cell>
          <cell r="BN24" t="str">
            <v>ນະຄອນຫຼວງ</v>
          </cell>
          <cell r="BO24" t="str">
            <v>ພະນັກງານ ບໍານານ</v>
          </cell>
          <cell r="BQ24" t="str">
            <v>ຕ</v>
          </cell>
          <cell r="BX24" t="str">
            <v>ທະໜອມນວນ ຄໍາທະ</v>
          </cell>
          <cell r="BY24">
            <v>32895</v>
          </cell>
          <cell r="BZ24" t="str">
            <v>ໂພນປາເປົ້າ</v>
          </cell>
          <cell r="CA24" t="str">
            <v>ສີສັດຕະນາກ</v>
          </cell>
          <cell r="CB24" t="str">
            <v>ນະຄອນຫຼວງ</v>
          </cell>
          <cell r="CC24" t="str">
            <v>ພະນັກງານ</v>
          </cell>
          <cell r="CD24" t="str">
            <v>ກະຊວງແຮງງານ</v>
          </cell>
          <cell r="CE24">
            <v>3</v>
          </cell>
          <cell r="CF24">
            <v>77701011</v>
          </cell>
          <cell r="CH24" t="str">
            <v>ປົກຄອງ</v>
          </cell>
        </row>
        <row r="25">
          <cell r="G25" t="str">
            <v>ນ. ຈັນຄຳ ໄຊຍະສອນ</v>
          </cell>
          <cell r="H25" t="str">
            <v>ພັຕ</v>
          </cell>
          <cell r="J25" t="str">
            <v>ຍິງ</v>
          </cell>
          <cell r="K25">
            <v>31594</v>
          </cell>
          <cell r="L25" t="str">
            <v>38 ປີ</v>
          </cell>
          <cell r="M25">
            <v>45742</v>
          </cell>
          <cell r="N25" t="str">
            <v>498/ປກສ</v>
          </cell>
          <cell r="O25" t="str">
            <v>ວຽງໄຊ</v>
          </cell>
          <cell r="P25" t="str">
            <v>ວຽງໄຊ</v>
          </cell>
          <cell r="Q25" t="str">
            <v>ຫົວພັນ</v>
          </cell>
          <cell r="R25" t="str">
            <v>ໂພນທັນ</v>
          </cell>
          <cell r="S25" t="str">
            <v>ໄຊເສດຖາ</v>
          </cell>
          <cell r="T25" t="str">
            <v>ນະຄອນຫຼວງ</v>
          </cell>
          <cell r="U25" t="str">
            <v>462</v>
          </cell>
          <cell r="V25" t="str">
            <v>ສູນກາງຊາວໜຸ່ມ</v>
          </cell>
          <cell r="X25" t="str">
            <v>01-23024820</v>
          </cell>
          <cell r="Y25" t="str">
            <v>ລລ</v>
          </cell>
          <cell r="Z25" t="str">
            <v>ພຸດ</v>
          </cell>
          <cell r="AA25" t="str">
            <v>25533/ກພງ</v>
          </cell>
          <cell r="AB25">
            <v>40616</v>
          </cell>
          <cell r="AC25">
            <v>40616</v>
          </cell>
          <cell r="AE25">
            <v>42247</v>
          </cell>
          <cell r="AG25">
            <v>42620</v>
          </cell>
          <cell r="AI25">
            <v>37300</v>
          </cell>
          <cell r="AJ25">
            <v>37692</v>
          </cell>
          <cell r="AL25" t="str">
            <v>ສະມາຊິກ</v>
          </cell>
          <cell r="AM25" t="str">
            <v>ຮອງຫົວໜ້າພະແນກ</v>
          </cell>
          <cell r="AN25" t="str">
            <v>ມ 6</v>
          </cell>
          <cell r="AP25" t="str">
            <v>ປຕ</v>
          </cell>
          <cell r="AR25" t="str">
            <v>ການເງິນ-ການທະນາຄານ</v>
          </cell>
          <cell r="AS25" t="str">
            <v>ກໍ່ສ້າງ</v>
          </cell>
          <cell r="AT25" t="str">
            <v>ວິທະຍາໄລເສດຖາ</v>
          </cell>
          <cell r="AU25" t="str">
            <v>5 ປີ</v>
          </cell>
          <cell r="AV25" t="str">
            <v>2006 - 2011</v>
          </cell>
          <cell r="BJ25" t="str">
            <v>ທອງຄໍາ</v>
          </cell>
          <cell r="BK25">
            <v>84</v>
          </cell>
          <cell r="BL25" t="str">
            <v>ດົງສ້າງຫີນ</v>
          </cell>
          <cell r="BM25" t="str">
            <v>ໄຊທານີ</v>
          </cell>
          <cell r="BN25" t="str">
            <v>ນະຄອນຫຼວງ</v>
          </cell>
          <cell r="BO25" t="str">
            <v>ພະນັກງານ ບໍານານ</v>
          </cell>
          <cell r="BQ25" t="str">
            <v>ສອນດາວັນ</v>
          </cell>
          <cell r="BR25">
            <v>64</v>
          </cell>
          <cell r="BS25" t="str">
            <v>ດົງສ້າງຫີນ</v>
          </cell>
          <cell r="BT25" t="str">
            <v>ໄຊທານີ</v>
          </cell>
          <cell r="BU25" t="str">
            <v>ນະຄອນຫຼວງ</v>
          </cell>
          <cell r="BV25" t="str">
            <v>ພະນັກງານ ບໍານານ</v>
          </cell>
          <cell r="BX25" t="str">
            <v>ແສງເພັດ ພອນແກ້ວ</v>
          </cell>
          <cell r="BY25">
            <v>28900</v>
          </cell>
          <cell r="BZ25" t="str">
            <v>ໂພນທັນ</v>
          </cell>
          <cell r="CA25" t="str">
            <v>ໄໍຊເສດຖາ</v>
          </cell>
          <cell r="CB25" t="str">
            <v>ນະຄອນຫຼວງ</v>
          </cell>
          <cell r="CC25" t="str">
            <v>ພະນັກງານ</v>
          </cell>
          <cell r="CD25" t="str">
            <v>ກະຊວງຖະແຫຼ່ງຂ່າວ</v>
          </cell>
          <cell r="CE25">
            <v>3</v>
          </cell>
          <cell r="CF25">
            <v>22233930</v>
          </cell>
          <cell r="CH25" t="str">
            <v>ປົກຄອງ</v>
          </cell>
        </row>
        <row r="26">
          <cell r="G26" t="str">
            <v>ທ. ທອງສະຫວາດ ວົງໄຊ</v>
          </cell>
          <cell r="H26" t="str">
            <v>ພັຕ</v>
          </cell>
          <cell r="I26" t="str">
            <v>ທອງ</v>
          </cell>
          <cell r="J26" t="str">
            <v>ຊາຍ</v>
          </cell>
          <cell r="K26">
            <v>26823</v>
          </cell>
          <cell r="L26" t="str">
            <v>51 ປີ</v>
          </cell>
          <cell r="M26">
            <v>44264</v>
          </cell>
          <cell r="O26" t="str">
            <v>ໂພນຄໍາ</v>
          </cell>
          <cell r="P26" t="str">
            <v>ທຸລະຄົມ</v>
          </cell>
          <cell r="Q26" t="str">
            <v>ວຽງຈັນ</v>
          </cell>
          <cell r="R26" t="str">
            <v>ຫ້ວຍທົນ</v>
          </cell>
          <cell r="S26" t="str">
            <v>ໂພນໂຮງ</v>
          </cell>
          <cell r="T26" t="str">
            <v>ວຽງຈັນ</v>
          </cell>
          <cell r="V26" t="str">
            <v>13 ເໜືອ</v>
          </cell>
          <cell r="X26" t="str">
            <v>10-0197296</v>
          </cell>
          <cell r="Y26" t="str">
            <v>ລລ</v>
          </cell>
          <cell r="Z26" t="str">
            <v>ພຸດ</v>
          </cell>
          <cell r="AA26" t="str">
            <v>25524/ກພງ</v>
          </cell>
          <cell r="AB26">
            <v>37803</v>
          </cell>
          <cell r="AC26">
            <v>40904</v>
          </cell>
          <cell r="AE26">
            <v>41408</v>
          </cell>
          <cell r="AG26">
            <v>41799</v>
          </cell>
          <cell r="AL26" t="str">
            <v>ຮອງຈຸພັກ</v>
          </cell>
          <cell r="AM26" t="str">
            <v>ຮອງຫົວໜ້າພະແນກ</v>
          </cell>
          <cell r="AN26" t="str">
            <v>ມ 6</v>
          </cell>
          <cell r="AP26" t="str">
            <v>ປຕ</v>
          </cell>
          <cell r="AR26" t="str">
            <v>ການກະເສດ</v>
          </cell>
          <cell r="AS26" t="str">
            <v>ບໍາລຸງ</v>
          </cell>
          <cell r="AT26" t="str">
            <v>ວິທະຍາໄລ ລາວສໍາພັນມິດໄມຕີ</v>
          </cell>
          <cell r="AU26" t="str">
            <v>1 ປີ</v>
          </cell>
          <cell r="AV26" t="str">
            <v>2010 - 2011</v>
          </cell>
          <cell r="BJ26" t="str">
            <v>ແກ້ວ ລໍວັນໄຊ</v>
          </cell>
          <cell r="BK26" t="str">
            <v>ຕ</v>
          </cell>
          <cell r="BQ26" t="str">
            <v>ໜູເພົາ</v>
          </cell>
          <cell r="BR26">
            <v>84</v>
          </cell>
          <cell r="BS26" t="str">
            <v>ໂພນຄໍາ</v>
          </cell>
          <cell r="BT26" t="str">
            <v>ທຸລະຄົມ</v>
          </cell>
          <cell r="BU26" t="str">
            <v>ວຽງຈັນ</v>
          </cell>
          <cell r="BV26" t="str">
            <v>ຊາວນາ</v>
          </cell>
          <cell r="BX26" t="str">
            <v>ມີລາວັນ ວົງໄຊ</v>
          </cell>
          <cell r="BY26">
            <v>30651</v>
          </cell>
          <cell r="BZ26" t="str">
            <v>ຫ້ວນທັນ</v>
          </cell>
          <cell r="CA26" t="str">
            <v>ໂພນໂຮງ</v>
          </cell>
          <cell r="CB26" t="str">
            <v>ວຽງຈັນ</v>
          </cell>
          <cell r="CC26" t="str">
            <v>ກໍາມະກອນ</v>
          </cell>
          <cell r="CE26">
            <v>3</v>
          </cell>
          <cell r="CF26">
            <v>91919252</v>
          </cell>
          <cell r="CH26" t="str">
            <v>ປົກຄອງ</v>
          </cell>
        </row>
        <row r="27">
          <cell r="G27" t="str">
            <v>ທ. ໄຄທອງ ເທສີຍະບຸດ</v>
          </cell>
          <cell r="H27" t="str">
            <v>ພັຕ</v>
          </cell>
          <cell r="I27" t="str">
            <v>ທອງ</v>
          </cell>
          <cell r="J27" t="str">
            <v>ຊາຍ</v>
          </cell>
          <cell r="K27">
            <v>30015</v>
          </cell>
          <cell r="L27" t="str">
            <v>43 ປີ</v>
          </cell>
          <cell r="M27">
            <v>44264</v>
          </cell>
          <cell r="O27" t="str">
            <v>ເມືອງຫຼວງ</v>
          </cell>
          <cell r="P27" t="str">
            <v>ວິລະບູລີ</v>
          </cell>
          <cell r="Q27" t="str">
            <v>ສະຫວັນນາເຂດ</v>
          </cell>
          <cell r="R27" t="str">
            <v>ຂາມງອຍ</v>
          </cell>
          <cell r="S27" t="str">
            <v>ໄຊເສດຖາ</v>
          </cell>
          <cell r="T27" t="str">
            <v>ນະຄອນຫຼວງ</v>
          </cell>
          <cell r="U27" t="str">
            <v>450</v>
          </cell>
          <cell r="V27" t="str">
            <v>ຂາມງອຍ</v>
          </cell>
          <cell r="W27" t="str">
            <v>04</v>
          </cell>
          <cell r="X27" t="str">
            <v>ບໍ່ມີ</v>
          </cell>
          <cell r="Y27" t="str">
            <v>ລລ</v>
          </cell>
          <cell r="Z27" t="str">
            <v>ພຸດ</v>
          </cell>
          <cell r="AA27" t="str">
            <v>25525/ກພງ</v>
          </cell>
          <cell r="AB27">
            <v>38113</v>
          </cell>
          <cell r="AC27">
            <v>38113</v>
          </cell>
          <cell r="AE27">
            <v>40988</v>
          </cell>
          <cell r="AG27">
            <v>41421</v>
          </cell>
          <cell r="AI27">
            <v>36850</v>
          </cell>
          <cell r="AL27" t="str">
            <v>ສະມາຊິກ</v>
          </cell>
          <cell r="AM27" t="str">
            <v>ຮອງສູນ</v>
          </cell>
          <cell r="AN27" t="str">
            <v>ມ 6</v>
          </cell>
          <cell r="AO27" t="str">
            <v>ຫວຽດນາມ</v>
          </cell>
          <cell r="AP27" t="str">
            <v>ປຕ</v>
          </cell>
          <cell r="AQ27" t="str">
            <v>ຕ່າງປະເທດ</v>
          </cell>
          <cell r="AR27" t="str">
            <v>ຕ້ານປະຕິການ</v>
          </cell>
          <cell r="AS27" t="str">
            <v>ກໍ່ສ້າງ</v>
          </cell>
          <cell r="AT27" t="str">
            <v>ວິທະຍາຄານ ສັນຕິບານ ປະຊາຊົນ ສສ ຫວຽດນາມ</v>
          </cell>
          <cell r="AU27" t="str">
            <v>5 ປີ</v>
          </cell>
          <cell r="AV27" t="str">
            <v>2008 - 2012</v>
          </cell>
          <cell r="BJ27" t="str">
            <v>ຊຽງໝອກ</v>
          </cell>
          <cell r="BK27">
            <v>83</v>
          </cell>
          <cell r="BL27" t="str">
            <v>ໂພນໄຊ</v>
          </cell>
          <cell r="BM27" t="str">
            <v>ເຊໂປນ</v>
          </cell>
          <cell r="BN27" t="str">
            <v>ສະຫວັນນະເຂດ</v>
          </cell>
          <cell r="BO27" t="str">
            <v>ຊາວນາ</v>
          </cell>
          <cell r="BQ27" t="str">
            <v>ບູນໄທ</v>
          </cell>
          <cell r="BR27">
            <v>66</v>
          </cell>
          <cell r="BS27" t="str">
            <v>ໂພນໄຊ</v>
          </cell>
          <cell r="BT27" t="str">
            <v>ເຊໂປນ</v>
          </cell>
          <cell r="BU27" t="str">
            <v>ສະຫວັນນະເຂດ</v>
          </cell>
          <cell r="BV27" t="str">
            <v>ຊາວນາ</v>
          </cell>
          <cell r="BX27" t="str">
            <v>ສີປະໄພ ແກ້ວວິໄລ</v>
          </cell>
          <cell r="BY27">
            <v>32177</v>
          </cell>
          <cell r="BZ27" t="str">
            <v>ຂາມງອຍ</v>
          </cell>
          <cell r="CA27" t="str">
            <v>ໄຊເສດຖາ</v>
          </cell>
          <cell r="CB27" t="str">
            <v>ນະຄອນຫຼວງ</v>
          </cell>
          <cell r="CC27" t="str">
            <v>ປະຊາຊົນ</v>
          </cell>
          <cell r="CE27">
            <v>0</v>
          </cell>
          <cell r="CF27">
            <v>99444277</v>
          </cell>
          <cell r="CH27" t="str">
            <v>ສັນຕິບານ</v>
          </cell>
        </row>
        <row r="28">
          <cell r="G28" t="str">
            <v>ນ. ປານຸ  ວິມົງທອງ</v>
          </cell>
          <cell r="H28" t="str">
            <v>ພັຕ</v>
          </cell>
          <cell r="I28" t="str">
            <v>ປານຸ</v>
          </cell>
          <cell r="J28" t="str">
            <v>ຍິງ</v>
          </cell>
          <cell r="K28">
            <v>32669</v>
          </cell>
          <cell r="L28" t="str">
            <v>35 ປີ</v>
          </cell>
          <cell r="M28">
            <v>45373</v>
          </cell>
          <cell r="O28" t="str">
            <v>ຄໍາຮຸ່ງ</v>
          </cell>
          <cell r="P28" t="str">
            <v>ໄຊທານີ</v>
          </cell>
          <cell r="Q28" t="str">
            <v>ນະຄອນຫຼວງ</v>
          </cell>
          <cell r="R28" t="str">
            <v>ຄຳຮຸ່ງ</v>
          </cell>
          <cell r="S28" t="str">
            <v>ໄຊທານີ</v>
          </cell>
          <cell r="T28" t="str">
            <v>ນະຄອນຫຼວງ</v>
          </cell>
          <cell r="U28" t="str">
            <v>233</v>
          </cell>
          <cell r="V28" t="str">
            <v>ໂພນຕ້ອງ-ດົງໂດກ</v>
          </cell>
          <cell r="W28" t="str">
            <v>06</v>
          </cell>
          <cell r="X28" t="str">
            <v>01-21001239</v>
          </cell>
          <cell r="Y28" t="str">
            <v>ລລ</v>
          </cell>
          <cell r="Z28" t="str">
            <v>ພຸດ</v>
          </cell>
          <cell r="AA28" t="str">
            <v>ບໍ່ມີ</v>
          </cell>
          <cell r="AB28">
            <v>39447</v>
          </cell>
          <cell r="AC28">
            <v>39447</v>
          </cell>
          <cell r="AE28">
            <v>42278</v>
          </cell>
          <cell r="AG28">
            <v>42675</v>
          </cell>
          <cell r="AI28">
            <v>37702</v>
          </cell>
          <cell r="AJ28">
            <v>38808</v>
          </cell>
          <cell r="AL28" t="str">
            <v>ສະມາຊິກ</v>
          </cell>
          <cell r="AM28" t="str">
            <v>ຮອງສູນ</v>
          </cell>
          <cell r="AN28" t="str">
            <v>ມ 6</v>
          </cell>
          <cell r="AP28" t="str">
            <v>ປຕ</v>
          </cell>
          <cell r="AR28" t="str">
            <v>ວິທະຍາສາດສິ່ງແວດລ້ອມ</v>
          </cell>
          <cell r="AS28" t="str">
            <v>ກໍ່າສ້າງ</v>
          </cell>
          <cell r="AT28" t="str">
            <v>ມະຫາວິທະຍາໄລແຫ່ງຊາດ</v>
          </cell>
          <cell r="AU28" t="str">
            <v>5 ປີ</v>
          </cell>
          <cell r="AV28" t="str">
            <v>2006 - 2011</v>
          </cell>
          <cell r="BJ28" t="str">
            <v>ບຸນເຕັ່ງ ວິມົງທອງ</v>
          </cell>
          <cell r="BK28">
            <v>63</v>
          </cell>
          <cell r="BL28" t="str">
            <v>ທົ່ງຄູນ</v>
          </cell>
          <cell r="BM28" t="str">
            <v>ອານຸວົງ</v>
          </cell>
          <cell r="BN28" t="str">
            <v>ໄຊສົມບູນ</v>
          </cell>
          <cell r="BO28" t="str">
            <v>ນັກຮົບເກົ່າ</v>
          </cell>
          <cell r="BQ28" t="str">
            <v>ອ່ອນສີ ວິມົງທອງ</v>
          </cell>
          <cell r="BR28">
            <v>53</v>
          </cell>
          <cell r="BS28" t="str">
            <v>ທົ່ງຄູນ</v>
          </cell>
          <cell r="BT28" t="str">
            <v>ອານຸວົງ</v>
          </cell>
          <cell r="BU28" t="str">
            <v>ໄຊສົມບູນ</v>
          </cell>
          <cell r="BV28" t="str">
            <v>ແມ່ເຮືອນ</v>
          </cell>
          <cell r="BX28" t="str">
            <v>ບົວໄລ ສີສຸລາດ</v>
          </cell>
          <cell r="BY28">
            <v>30738</v>
          </cell>
          <cell r="BZ28" t="str">
            <v>ຄໍາຮຸ່ງ</v>
          </cell>
          <cell r="CA28" t="str">
            <v>ໄຊທານີ</v>
          </cell>
          <cell r="CB28" t="str">
            <v>ນະຄອນຫຼວງ</v>
          </cell>
          <cell r="CC28" t="str">
            <v>ຕໍາຫຼວດ</v>
          </cell>
          <cell r="CD28" t="str">
            <v>ກົມໃຫຍ່ການເມືອງ ປກສ</v>
          </cell>
          <cell r="CF28">
            <v>78437645</v>
          </cell>
          <cell r="CH28" t="str">
            <v>ປົກຄອງ</v>
          </cell>
        </row>
        <row r="29">
          <cell r="G29" t="str">
            <v>ທ. ພູໄຊ ອຸດທະຈັກ</v>
          </cell>
          <cell r="H29" t="str">
            <v>ພັຕ</v>
          </cell>
          <cell r="I29" t="str">
            <v>ແດະ</v>
          </cell>
          <cell r="J29" t="str">
            <v>ຊາຍ</v>
          </cell>
          <cell r="K29">
            <v>31889</v>
          </cell>
          <cell r="L29" t="str">
            <v>38 ປີ</v>
          </cell>
          <cell r="M29">
            <v>44949</v>
          </cell>
          <cell r="O29" t="str">
            <v>ໂພນສະອາດ</v>
          </cell>
          <cell r="P29" t="str">
            <v>ຜົ້ງສາລີ</v>
          </cell>
          <cell r="Q29" t="str">
            <v>ຜົ້ງສາລີ</v>
          </cell>
          <cell r="R29" t="str">
            <v>ດົງສ້າງຫີນ</v>
          </cell>
          <cell r="S29" t="str">
            <v>ໄຊທານີ</v>
          </cell>
          <cell r="T29" t="str">
            <v>ນະຄອນຫຼວງ</v>
          </cell>
          <cell r="V29" t="str">
            <v>13 ໃຕ້</v>
          </cell>
          <cell r="W29" t="str">
            <v>13</v>
          </cell>
          <cell r="X29" t="str">
            <v>P1754046</v>
          </cell>
          <cell r="Y29" t="str">
            <v>ພູນ້ອຍ</v>
          </cell>
          <cell r="Z29" t="str">
            <v>ພຸດ</v>
          </cell>
          <cell r="AA29" t="str">
            <v>ບໍ່ມີ</v>
          </cell>
          <cell r="AB29">
            <v>40668</v>
          </cell>
          <cell r="AC29">
            <v>40668</v>
          </cell>
          <cell r="AE29">
            <v>42247</v>
          </cell>
          <cell r="AG29">
            <v>42620</v>
          </cell>
          <cell r="AI29">
            <v>45038</v>
          </cell>
          <cell r="AK29">
            <v>40307</v>
          </cell>
          <cell r="AL29" t="str">
            <v>ສະມາຊິກ</v>
          </cell>
          <cell r="AM29" t="str">
            <v>ວິຊາການ</v>
          </cell>
          <cell r="AN29" t="str">
            <v>ມ 6</v>
          </cell>
          <cell r="AO29" t="str">
            <v>ຈີນ, ຫວຽດນາມ, ອັງກິດ</v>
          </cell>
          <cell r="AW29" t="str">
            <v>ປທ</v>
          </cell>
          <cell r="AX29" t="str">
            <v>ຕ່າງປະເທດ</v>
          </cell>
          <cell r="AY29" t="str">
            <v>ຄຸ້ມຄອງການສຶກສາ</v>
          </cell>
          <cell r="AZ29" t="str">
            <v>ກໍ່ສ້າງ</v>
          </cell>
          <cell r="BA29" t="str">
            <v>ມະຫາວິທະຍາໄລສ້າງຄູຫົວຊີ</v>
          </cell>
          <cell r="BB29" t="str">
            <v>3 ປີ</v>
          </cell>
          <cell r="BC29" t="str">
            <v>2019 - 2022</v>
          </cell>
          <cell r="BJ29" t="str">
            <v>ຈັນສົມ</v>
          </cell>
          <cell r="BK29" t="str">
            <v>ຕ</v>
          </cell>
          <cell r="BQ29" t="str">
            <v>ມະນີ</v>
          </cell>
          <cell r="BR29">
            <v>64</v>
          </cell>
          <cell r="BS29" t="str">
            <v>ດົງສ້າງຫີນ</v>
          </cell>
          <cell r="BT29" t="str">
            <v>ໄຊທານີ</v>
          </cell>
          <cell r="BU29" t="str">
            <v>ນະຄອນຫຼວງ</v>
          </cell>
          <cell r="BV29" t="str">
            <v>ພະນັກງານ ບໍານານ</v>
          </cell>
          <cell r="BW29" t="str">
            <v>ພະແນກໄປສະນີ ແລະ ການສື່ສານ ແຂວງຜົ້ງສາລີ</v>
          </cell>
          <cell r="BX29" t="str">
            <v>ແກ້ວມະນີວັນ</v>
          </cell>
          <cell r="BY29">
            <v>33554</v>
          </cell>
          <cell r="BZ29" t="str">
            <v>ດົງສ້າງຫີນ</v>
          </cell>
          <cell r="CA29" t="str">
            <v>ໄຊທານີ</v>
          </cell>
          <cell r="CB29" t="str">
            <v>ນະຄອນຫຼວງ</v>
          </cell>
          <cell r="CC29" t="str">
            <v>ຄ້າຂາຍ</v>
          </cell>
          <cell r="CD29" t="str">
            <v>ວຕປ</v>
          </cell>
          <cell r="CE29">
            <v>2</v>
          </cell>
          <cell r="CF29">
            <v>55509665</v>
          </cell>
          <cell r="CH29" t="str">
            <v xml:space="preserve">    ປົກຄອງ     ໄປຮຽນຕໍ່ ປ/ອ</v>
          </cell>
        </row>
        <row r="30">
          <cell r="G30" t="str">
            <v>ທ. ປັນຍາ ວົງດາລາ</v>
          </cell>
          <cell r="H30" t="str">
            <v>ພັຕ</v>
          </cell>
          <cell r="I30" t="str">
            <v>ໜ໋ອຍ</v>
          </cell>
          <cell r="J30" t="str">
            <v>ຊາຍ</v>
          </cell>
          <cell r="K30">
            <v>29475</v>
          </cell>
          <cell r="L30" t="str">
            <v>44 ປີ</v>
          </cell>
          <cell r="M30">
            <v>44977</v>
          </cell>
          <cell r="O30" t="str">
            <v>ຊຽງຍືນ</v>
          </cell>
          <cell r="P30" t="str">
            <v>ຈັນທະບູລີ</v>
          </cell>
          <cell r="Q30" t="str">
            <v>ນະຄອນຫຼວງ</v>
          </cell>
          <cell r="R30" t="str">
            <v>ໜອງສ້າງທໍ່</v>
          </cell>
          <cell r="S30" t="str">
            <v>ໄຊເສດຖາ</v>
          </cell>
          <cell r="T30" t="str">
            <v>ນະຄອນຫຼວງ</v>
          </cell>
          <cell r="U30" t="str">
            <v>024</v>
          </cell>
          <cell r="V30" t="str">
            <v>ຮອງໄກ່ແກ້ວ</v>
          </cell>
          <cell r="X30" t="str">
            <v>01-24046785</v>
          </cell>
          <cell r="Y30" t="str">
            <v>ລລ</v>
          </cell>
          <cell r="Z30" t="str">
            <v>ພຸດ</v>
          </cell>
          <cell r="AA30" t="str">
            <v>25530/ກພງ</v>
          </cell>
          <cell r="AB30">
            <v>38945</v>
          </cell>
          <cell r="AC30">
            <v>38945</v>
          </cell>
          <cell r="AE30">
            <v>41394</v>
          </cell>
          <cell r="AG30">
            <v>41799</v>
          </cell>
          <cell r="AI30">
            <v>36437</v>
          </cell>
          <cell r="AL30" t="str">
            <v>ສະມາຊິກ</v>
          </cell>
          <cell r="AM30" t="str">
            <v>ວິຊາການ</v>
          </cell>
          <cell r="AN30" t="str">
            <v>ມ 6</v>
          </cell>
          <cell r="AO30" t="str">
            <v>ອັງກິດ</v>
          </cell>
          <cell r="AP30" t="str">
            <v>ປຕ</v>
          </cell>
          <cell r="AR30" t="str">
            <v>ບໍລິຫານການໂຮງແຮມ-ທ່ອງທ່ຽວ</v>
          </cell>
          <cell r="AS30" t="str">
            <v>ກໍ່ສ້າງ</v>
          </cell>
          <cell r="AT30" t="str">
            <v>ມະຫາວິທະຍາໄລ ແຫ່ງຊາດ</v>
          </cell>
          <cell r="AU30" t="str">
            <v>4 ປີ</v>
          </cell>
          <cell r="AV30" t="str">
            <v>2010 - 2014</v>
          </cell>
          <cell r="BJ30" t="str">
            <v>ບຸນທົງ ວົງດາລາ</v>
          </cell>
          <cell r="BK30">
            <v>73</v>
          </cell>
          <cell r="BL30" t="str">
            <v>ໜອງສ້າງຫໍ່</v>
          </cell>
          <cell r="BM30" t="str">
            <v>ໄຊເສດຖາ</v>
          </cell>
          <cell r="BN30" t="str">
            <v>ນະຄອນຫຼວງ</v>
          </cell>
          <cell r="BO30" t="str">
            <v>ຊາວສອນ</v>
          </cell>
          <cell r="BP30" t="str">
            <v>ໜອງສ້າງທໍ່</v>
          </cell>
          <cell r="BQ30" t="str">
            <v>ໄຄສີ ວົງດາລາ</v>
          </cell>
          <cell r="BR30" t="str">
            <v>ຕ</v>
          </cell>
          <cell r="CF30">
            <v>91608607</v>
          </cell>
          <cell r="CH30" t="str">
            <v>ປົກຄອງ
ລົງຮາກຖານ</v>
          </cell>
        </row>
        <row r="31">
          <cell r="G31" t="str">
            <v>ນ. ທິບພະກອນ ຄຳມີ</v>
          </cell>
          <cell r="H31" t="str">
            <v>ພັຕ</v>
          </cell>
          <cell r="I31" t="str">
            <v>ນ້ອຍ</v>
          </cell>
          <cell r="J31" t="str">
            <v>ຍິງ</v>
          </cell>
          <cell r="K31">
            <v>32111</v>
          </cell>
          <cell r="L31" t="str">
            <v>37 ປີ</v>
          </cell>
          <cell r="M31">
            <v>45240</v>
          </cell>
          <cell r="O31" t="str">
            <v>ວຽງສະຫວັນ</v>
          </cell>
          <cell r="P31" t="str">
            <v>ສີໂຄດຕະບອງ</v>
          </cell>
          <cell r="Q31" t="str">
            <v>ນະຄອນຫຼວງ</v>
          </cell>
          <cell r="R31" t="str">
            <v>ວຽງສະຫວັນ</v>
          </cell>
          <cell r="S31" t="str">
            <v>ສີໂຄດຕະບອງ</v>
          </cell>
          <cell r="T31" t="str">
            <v>ນະຄອນຫຼວງ</v>
          </cell>
          <cell r="U31" t="str">
            <v>171</v>
          </cell>
          <cell r="V31" t="str">
            <v>13 ເໜືອ</v>
          </cell>
          <cell r="W31" t="str">
            <v>04</v>
          </cell>
          <cell r="X31" t="str">
            <v>ບໍ່ມີ</v>
          </cell>
          <cell r="Y31" t="str">
            <v>ລລ</v>
          </cell>
          <cell r="Z31" t="str">
            <v>ພຸດ</v>
          </cell>
          <cell r="AA31" t="str">
            <v>3562/ກພງ</v>
          </cell>
          <cell r="AB31">
            <v>40472</v>
          </cell>
          <cell r="AC31">
            <v>40472</v>
          </cell>
          <cell r="AE31">
            <v>41686</v>
          </cell>
          <cell r="AG31">
            <v>42411</v>
          </cell>
          <cell r="AI31">
            <v>37391</v>
          </cell>
          <cell r="AJ31">
            <v>37406</v>
          </cell>
          <cell r="AL31" t="str">
            <v>ສະມາຊິກ</v>
          </cell>
          <cell r="AM31" t="str">
            <v>ວິຊາການ</v>
          </cell>
          <cell r="AN31" t="str">
            <v>ມ 6</v>
          </cell>
          <cell r="AP31" t="str">
            <v>ປຕ</v>
          </cell>
          <cell r="AR31" t="str">
            <v>ການບັນຊີ</v>
          </cell>
          <cell r="AS31" t="str">
            <v>ກໍ່ສ້າງ</v>
          </cell>
          <cell r="AT31" t="str">
            <v>ວິທະຍາໄລເຕັກນິກປາກປາສັກ</v>
          </cell>
          <cell r="AU31" t="str">
            <v>5 ປີ</v>
          </cell>
          <cell r="AV31" t="str">
            <v>2008 - 2012</v>
          </cell>
          <cell r="BJ31" t="str">
            <v>ບຸນທະໜອມ ດາລາວົງ</v>
          </cell>
          <cell r="BK31">
            <v>64</v>
          </cell>
          <cell r="BL31" t="str">
            <v>ວຽງສະຫວັນ</v>
          </cell>
          <cell r="BM31" t="str">
            <v>ສີໂຄດຕະບອງ</v>
          </cell>
          <cell r="BN31" t="str">
            <v>ນະຄອນຫຼວງ</v>
          </cell>
          <cell r="BO31" t="str">
            <v>ກໍາມະກອນ</v>
          </cell>
          <cell r="BQ31" t="str">
            <v>ອໍາພອນ ຄໍາມີ</v>
          </cell>
          <cell r="BR31">
            <v>59</v>
          </cell>
          <cell r="BS31" t="str">
            <v>ວຽງສະຫວັນ</v>
          </cell>
          <cell r="BT31" t="str">
            <v>ສີໂຄດຕະບອງ</v>
          </cell>
          <cell r="BU31" t="str">
            <v>ນະຄອນຫຼວງ</v>
          </cell>
          <cell r="BV31" t="str">
            <v>ແມ່ເຮືອນ</v>
          </cell>
          <cell r="CF31">
            <v>23004597</v>
          </cell>
          <cell r="CH31" t="str">
            <v>ປົກຄອງ</v>
          </cell>
        </row>
        <row r="32">
          <cell r="G32" t="str">
            <v>ທ. ພົງສິດ ແສງໂສພາ</v>
          </cell>
          <cell r="H32" t="str">
            <v>ຮອ</v>
          </cell>
          <cell r="J32" t="str">
            <v>ຊາຍ</v>
          </cell>
          <cell r="K32">
            <v>33920</v>
          </cell>
          <cell r="L32" t="str">
            <v>32 ປີ</v>
          </cell>
          <cell r="M32">
            <v>44977</v>
          </cell>
          <cell r="O32" t="str">
            <v>ນໍ້າພຸ</v>
          </cell>
          <cell r="P32" t="str">
            <v>ບໍ່ແຕນ</v>
          </cell>
          <cell r="Q32" t="str">
            <v>ໄຊຍະບູລີ</v>
          </cell>
          <cell r="R32" t="str">
            <v>ດອນຂາຊ້າຍ</v>
          </cell>
          <cell r="S32" t="str">
            <v>ຫາດຊາຍຟອງ</v>
          </cell>
          <cell r="T32" t="str">
            <v>ນະຄອນຫຼວງ</v>
          </cell>
          <cell r="U32" t="str">
            <v>169</v>
          </cell>
          <cell r="X32" t="str">
            <v>ບໍ່ມີ</v>
          </cell>
          <cell r="Y32" t="str">
            <v>ລລ</v>
          </cell>
          <cell r="Z32" t="str">
            <v>ພຸດ</v>
          </cell>
          <cell r="AA32" t="str">
            <v>25551/ກພງ</v>
          </cell>
          <cell r="AB32">
            <v>42496</v>
          </cell>
          <cell r="AC32">
            <v>42496</v>
          </cell>
          <cell r="AE32">
            <v>44040</v>
          </cell>
          <cell r="AG32">
            <v>44410</v>
          </cell>
          <cell r="AI32">
            <v>39917</v>
          </cell>
          <cell r="AL32" t="str">
            <v>ສະມາຊິກ</v>
          </cell>
          <cell r="AM32" t="str">
            <v>ຮອງຫົວໜ້າພະແນກ</v>
          </cell>
          <cell r="AN32" t="str">
            <v>ມ 6</v>
          </cell>
          <cell r="AP32" t="str">
            <v>ປຕ</v>
          </cell>
          <cell r="AR32" t="str">
            <v>ການບັນຊີ</v>
          </cell>
          <cell r="AS32" t="str">
            <v>ກໍ່ສ້າງ</v>
          </cell>
          <cell r="AT32" t="str">
            <v>ສະຖາບັນທະນາຄານ</v>
          </cell>
          <cell r="AU32" t="str">
            <v>4 ປີ</v>
          </cell>
          <cell r="AV32" t="str">
            <v>2012-2015</v>
          </cell>
          <cell r="BJ32" t="str">
            <v>ຈັນທະແສງ ໂສພາ</v>
          </cell>
          <cell r="BK32">
            <v>55</v>
          </cell>
          <cell r="BL32" t="str">
            <v>ນໍ້າພຸ</v>
          </cell>
          <cell r="BM32" t="str">
            <v>ບໍ່ແຕນ</v>
          </cell>
          <cell r="BN32" t="str">
            <v>ໄຊຍະບູລີ</v>
          </cell>
          <cell r="BO32" t="str">
            <v>ແພດ</v>
          </cell>
          <cell r="BP32" t="str">
            <v>ຫ້ອງການສາທາລະນະສຸກເມືອງບໍ່ແຕນ</v>
          </cell>
          <cell r="BQ32" t="str">
            <v>ສົມສະໜິດ</v>
          </cell>
          <cell r="BR32">
            <v>50</v>
          </cell>
          <cell r="BS32" t="str">
            <v>ນໍ້າພຸ</v>
          </cell>
          <cell r="BT32" t="str">
            <v>ບໍ່ແຕນ</v>
          </cell>
          <cell r="BU32" t="str">
            <v>ໄຊຍະບູລີ</v>
          </cell>
          <cell r="BV32" t="str">
            <v>ປະຊາຊົນ</v>
          </cell>
          <cell r="BX32" t="str">
            <v>ວາດສະໜາ ກິນນະວົງ</v>
          </cell>
          <cell r="BY32">
            <v>32021</v>
          </cell>
          <cell r="BZ32" t="str">
            <v>ດອນຂາຊ້າຍ</v>
          </cell>
          <cell r="CA32" t="str">
            <v>ຫາດຊາຍຟອງ</v>
          </cell>
          <cell r="CB32" t="str">
            <v>ນະຄອນຫຼວງ</v>
          </cell>
          <cell r="CC32" t="str">
            <v>ຕໍາຫຼວດ</v>
          </cell>
          <cell r="CD32" t="str">
            <v>ກົມໃຫຍ່ການເມືອງ</v>
          </cell>
          <cell r="CE32">
            <v>2</v>
          </cell>
          <cell r="CF32">
            <v>29807903</v>
          </cell>
          <cell r="CH32" t="str">
            <v>ປົກຄອງ</v>
          </cell>
        </row>
        <row r="33">
          <cell r="G33" t="str">
            <v>ທ. ພຸດທະວົງ ຊາມຸນຕີ</v>
          </cell>
          <cell r="H33" t="str">
            <v>ຮອ</v>
          </cell>
          <cell r="I33" t="str">
            <v>ບີດ</v>
          </cell>
          <cell r="J33" t="str">
            <v>ຊາຍ</v>
          </cell>
          <cell r="K33">
            <v>34822</v>
          </cell>
          <cell r="L33" t="str">
            <v>30 ປີ</v>
          </cell>
          <cell r="M33">
            <v>44615</v>
          </cell>
          <cell r="O33" t="str">
            <v>ຫັດສະດີໃຕ້</v>
          </cell>
          <cell r="P33" t="str">
            <v>ຈັນທະບູລີ</v>
          </cell>
          <cell r="Q33" t="str">
            <v>ນະຄອນຫຼວງ</v>
          </cell>
          <cell r="R33" t="str">
            <v>ນາເລົ່າ</v>
          </cell>
          <cell r="S33" t="str">
            <v>ສີໂຄດຕະບອງ</v>
          </cell>
          <cell r="T33" t="str">
            <v>ນະຄອນຫຼວງ</v>
          </cell>
          <cell r="X33" t="str">
            <v>ບໍ່ມີ</v>
          </cell>
          <cell r="Y33" t="str">
            <v>ລລ</v>
          </cell>
          <cell r="Z33" t="str">
            <v>ພຸດ</v>
          </cell>
          <cell r="AA33" t="str">
            <v>36914/ກພງ</v>
          </cell>
          <cell r="AB33">
            <v>41571</v>
          </cell>
          <cell r="AC33">
            <v>41571</v>
          </cell>
          <cell r="AE33">
            <v>43290</v>
          </cell>
          <cell r="AG33">
            <v>43734</v>
          </cell>
          <cell r="AI33">
            <v>39876</v>
          </cell>
          <cell r="AL33" t="str">
            <v>ສະມາຊິກ</v>
          </cell>
          <cell r="AM33" t="str">
            <v>ຮອງຫົວໜ້າພະແນກ</v>
          </cell>
          <cell r="AN33" t="str">
            <v>ມ 7</v>
          </cell>
          <cell r="AP33" t="str">
            <v>ປຕ</v>
          </cell>
          <cell r="AQ33" t="str">
            <v>ພາຍໃນ</v>
          </cell>
          <cell r="AR33" t="str">
            <v>ປ້ອງກັນເສດຖະກິດ</v>
          </cell>
          <cell r="AS33" t="str">
            <v>ກໍ່ສ້າງ</v>
          </cell>
          <cell r="AT33" t="str">
            <v>ວິທະຍາຄານ ຕໍາຫຼວດ ປະຊາຊົນ</v>
          </cell>
          <cell r="AU33" t="str">
            <v>4 ປີ</v>
          </cell>
          <cell r="AV33" t="str">
            <v>2015 - 2018</v>
          </cell>
          <cell r="BJ33" t="str">
            <v>ທະນົງສັກ ຊາມຸນຕີ</v>
          </cell>
          <cell r="BK33">
            <v>54</v>
          </cell>
          <cell r="BL33" t="str">
            <v>ໜອງແຕ່ງເໜືອ</v>
          </cell>
          <cell r="BM33" t="str">
            <v>ສີໂຄດຕະບອງ</v>
          </cell>
          <cell r="BN33" t="str">
            <v>ນະຄອນຫຼວງ</v>
          </cell>
          <cell r="BO33" t="str">
            <v>ຕໍາຫຼວດ</v>
          </cell>
          <cell r="BP33" t="str">
            <v>ກົມໃຫຍ່ຕໍາຫຼວດ</v>
          </cell>
          <cell r="BQ33" t="str">
            <v>ສີສະຫວັນ ຊາມຸນຕີ</v>
          </cell>
          <cell r="BR33">
            <v>53</v>
          </cell>
          <cell r="BS33" t="str">
            <v>ໜອງແຕ່ງເໜືອ</v>
          </cell>
          <cell r="BT33" t="str">
            <v>ສີໂຄດຕະບອງ</v>
          </cell>
          <cell r="BU33" t="str">
            <v>ນະຄອນຫຼວງ</v>
          </cell>
          <cell r="BV33" t="str">
            <v>ປະຊາຊົນ</v>
          </cell>
          <cell r="BX33" t="str">
            <v>ແຕ໋ມສຸລິນ ສິມມະວົງ</v>
          </cell>
          <cell r="BY33">
            <v>35866</v>
          </cell>
          <cell r="BZ33" t="str">
            <v>ນາເລົ່າ</v>
          </cell>
          <cell r="CA33" t="str">
            <v>ສີໂຄດຕະບອງ</v>
          </cell>
          <cell r="CB33" t="str">
            <v>ນະຄອນຫຼວງ</v>
          </cell>
          <cell r="CC33" t="str">
            <v>ຕໍາຫຼວດ</v>
          </cell>
          <cell r="CD33" t="str">
            <v>ປກສ ເມືອງສີໂຄດ</v>
          </cell>
          <cell r="CE33">
            <v>1</v>
          </cell>
          <cell r="CF33">
            <v>96377577</v>
          </cell>
          <cell r="CH33" t="str">
            <v>ຕໍາຫຼວດ</v>
          </cell>
        </row>
        <row r="34">
          <cell r="G34" t="str">
            <v>ທ. ປທ ຈີມພະຈິກ ຂຸນລະພິດ</v>
          </cell>
          <cell r="H34" t="str">
            <v>ຮອ</v>
          </cell>
          <cell r="I34" t="str">
            <v>ຈີມ</v>
          </cell>
          <cell r="J34" t="str">
            <v>ຊາຍ</v>
          </cell>
          <cell r="K34">
            <v>35370</v>
          </cell>
          <cell r="L34" t="str">
            <v>28 ປີ</v>
          </cell>
          <cell r="M34">
            <v>45534</v>
          </cell>
          <cell r="O34" t="str">
            <v>ໂພນສົມບູນ</v>
          </cell>
          <cell r="P34" t="str">
            <v>ສີໂຄດຕະບອງ</v>
          </cell>
          <cell r="Q34" t="str">
            <v>ນະຄອນຫຼວງ</v>
          </cell>
          <cell r="R34" t="str">
            <v>ໂພນສະຫວັນເໜືອ</v>
          </cell>
          <cell r="S34" t="str">
            <v>ສີໂຄດຕະບອງ</v>
          </cell>
          <cell r="T34" t="str">
            <v>ນະຄອນຫຼວງ</v>
          </cell>
          <cell r="U34" t="str">
            <v>331</v>
          </cell>
          <cell r="X34" t="str">
            <v>01-22033393</v>
          </cell>
          <cell r="Y34" t="str">
            <v>ລລ</v>
          </cell>
          <cell r="Z34" t="str">
            <v>ພຸດ</v>
          </cell>
          <cell r="AA34" t="str">
            <v>ບໍ່ມີ</v>
          </cell>
          <cell r="AB34">
            <v>40430</v>
          </cell>
          <cell r="AC34">
            <v>42247</v>
          </cell>
          <cell r="AE34">
            <v>44959</v>
          </cell>
          <cell r="AG34">
            <v>45390</v>
          </cell>
          <cell r="AI34">
            <v>42432</v>
          </cell>
          <cell r="AL34" t="str">
            <v>ສະມາຊິກ</v>
          </cell>
          <cell r="AM34" t="str">
            <v>ຜູ້ຊ່ວຍວຽກ ຮອງຫົວໜ້າກົມໃຫຍ່ການເມືອງ ປກສ</v>
          </cell>
          <cell r="AN34" t="str">
            <v>ມ 7</v>
          </cell>
          <cell r="AO34" t="str">
            <v>ຫວຽດນາມ</v>
          </cell>
          <cell r="AP34" t="str">
            <v>ປທ</v>
          </cell>
          <cell r="AQ34" t="str">
            <v>ຕ່າງປະເທດ</v>
          </cell>
          <cell r="AR34" t="str">
            <v>ຄຸ້ມຄອງລັດ</v>
          </cell>
          <cell r="AS34" t="str">
            <v>ກໍ່ສ້າງ</v>
          </cell>
          <cell r="AT34" t="str">
            <v>ວຕປ ສສ ຫວຽດນາມ</v>
          </cell>
          <cell r="AU34" t="str">
            <v>2 ປີ</v>
          </cell>
          <cell r="AV34" t="str">
            <v>2021 - 2023</v>
          </cell>
          <cell r="BJ34" t="str">
            <v>ທອງບຸນ ຂຸນລະພິດ</v>
          </cell>
          <cell r="BK34">
            <v>55</v>
          </cell>
          <cell r="BL34" t="str">
            <v>ໂພນສະຫວາດເໜືອ</v>
          </cell>
          <cell r="BM34" t="str">
            <v>ສີໂຄດຕະບອງ</v>
          </cell>
          <cell r="BN34" t="str">
            <v>ນະຄອນຫຼວງ</v>
          </cell>
          <cell r="BO34" t="str">
            <v>ພະນັກງານ</v>
          </cell>
          <cell r="BP34" t="str">
            <v>ຫ້ອງການຄະນະກໍາມະການ ປກຊ-ປກສ ສູນກາງ</v>
          </cell>
          <cell r="BQ34" t="str">
            <v>ປິກ ຂຸນລະພິດ</v>
          </cell>
          <cell r="BR34">
            <v>51</v>
          </cell>
          <cell r="BS34" t="str">
            <v>ໂພນສະຫວາດເໜືອ</v>
          </cell>
          <cell r="BT34" t="str">
            <v>ສີໂຄດຕະບອງ</v>
          </cell>
          <cell r="BU34" t="str">
            <v>ນະຄອນຫຼວງ</v>
          </cell>
          <cell r="BV34" t="str">
            <v>ແມ່ເຮືອນ</v>
          </cell>
          <cell r="BX34" t="str">
            <v>ມຸກດາວັນ ແກ້ວມະນີວັນ</v>
          </cell>
          <cell r="BY34">
            <v>35587</v>
          </cell>
          <cell r="BZ34" t="str">
            <v>ນາລ້ອມ</v>
          </cell>
          <cell r="CA34" t="str">
            <v>ໄຊທານີ</v>
          </cell>
          <cell r="CB34" t="str">
            <v>ນະຄອນຫຼວງ</v>
          </cell>
          <cell r="CC34" t="str">
            <v>ພະນັກງານ</v>
          </cell>
          <cell r="CD34" t="str">
            <v>ກົມທຸລະກິດ</v>
          </cell>
          <cell r="CE34">
            <v>0</v>
          </cell>
          <cell r="CF34">
            <v>92200339</v>
          </cell>
          <cell r="CH34" t="str">
            <v>ປົກຄອງ</v>
          </cell>
        </row>
        <row r="35">
          <cell r="G35" t="str">
            <v>ທ. ພອນໄຊ ວິໄລ</v>
          </cell>
          <cell r="H35" t="str">
            <v>ຮອ</v>
          </cell>
          <cell r="J35" t="str">
            <v>ຊາຍ</v>
          </cell>
          <cell r="K35">
            <v>32065</v>
          </cell>
          <cell r="L35" t="str">
            <v>37 ປີ</v>
          </cell>
          <cell r="M35">
            <v>44867</v>
          </cell>
          <cell r="O35" t="str">
            <v>ໄຊສົມບູນ</v>
          </cell>
          <cell r="P35" t="str">
            <v>ພີນ</v>
          </cell>
          <cell r="Q35" t="str">
            <v>ສະຫວັນນະເຂດ</v>
          </cell>
          <cell r="R35" t="str">
            <v>ໂພຄໍາ</v>
          </cell>
          <cell r="S35" t="str">
            <v>ໄຊທານີ</v>
          </cell>
          <cell r="T35" t="str">
            <v>ນະຄອນຫຼວງ</v>
          </cell>
          <cell r="W35">
            <v>517</v>
          </cell>
          <cell r="X35" t="str">
            <v>01-19032438</v>
          </cell>
          <cell r="Y35" t="str">
            <v>ລລ</v>
          </cell>
          <cell r="Z35" t="str">
            <v>ພຸດ</v>
          </cell>
          <cell r="AB35">
            <v>39493</v>
          </cell>
          <cell r="AC35">
            <v>39493</v>
          </cell>
          <cell r="AE35">
            <v>42090</v>
          </cell>
          <cell r="AG35">
            <v>42494</v>
          </cell>
          <cell r="AI35">
            <v>37720</v>
          </cell>
          <cell r="AL35" t="str">
            <v>ສະມາຊິກ</v>
          </cell>
          <cell r="AM35" t="str">
            <v>ຜູ້ຊ່ວຍວຽກ ຮອງຫົວໜ້າກົມໃຫຍ່ການເມືອງ ປກສ</v>
          </cell>
          <cell r="AN35" t="str">
            <v>ມ 6</v>
          </cell>
          <cell r="AP35" t="str">
            <v>ຊຕ</v>
          </cell>
          <cell r="AQ35" t="str">
            <v>ພາຍໃນ</v>
          </cell>
          <cell r="AR35" t="str">
            <v>ຈະລາຈອນ</v>
          </cell>
          <cell r="AS35" t="str">
            <v>ກໍ່ສ້າງ</v>
          </cell>
          <cell r="AT35" t="str">
            <v>ປກສ ຊັ້ນຕົ້ນ ເລກIV</v>
          </cell>
          <cell r="AU35" t="str">
            <v>01 ປີ 06 ເດືອນ</v>
          </cell>
          <cell r="AV35" t="str">
            <v>2008 - 2010</v>
          </cell>
          <cell r="AW35" t="str">
            <v>ປທ</v>
          </cell>
          <cell r="AX35" t="str">
            <v>ພາຍໃນ</v>
          </cell>
          <cell r="AY35" t="str">
            <v>ວິທະຍາສາດການເມືອງ</v>
          </cell>
          <cell r="AZ35" t="str">
            <v>ກໍ່ສ້າງ</v>
          </cell>
          <cell r="BA35" t="str">
            <v>ມະຫາວິທະຍາໄລແຫ່ງຊາດ</v>
          </cell>
          <cell r="BB35" t="str">
            <v>02 ປີ</v>
          </cell>
          <cell r="BC35" t="str">
            <v>2016 - 2018</v>
          </cell>
          <cell r="BD35" t="str">
            <v>ຂັ້ນສູງ</v>
          </cell>
          <cell r="BE35" t="str">
            <v>ວິທະຍາສາດການເມືອງ</v>
          </cell>
          <cell r="BF35" t="str">
            <v>ກໍ່ສ້າງ</v>
          </cell>
          <cell r="BG35" t="str">
            <v>ມະຫາວິທະຍາໄລແຫ່ງຊາດ</v>
          </cell>
          <cell r="BH35" t="str">
            <v>02 ປີ</v>
          </cell>
          <cell r="BI35" t="str">
            <v>2016 - 2018</v>
          </cell>
          <cell r="BJ35" t="str">
            <v>ພອນມະນີ ວິໄລ</v>
          </cell>
          <cell r="BK35" t="str">
            <v>ຕ</v>
          </cell>
          <cell r="BQ35" t="str">
            <v>ຈັນທອນ ວິໄລ</v>
          </cell>
          <cell r="BR35">
            <v>63</v>
          </cell>
          <cell r="BS35" t="str">
            <v>ໄຊສົມບູນ</v>
          </cell>
          <cell r="BT35" t="str">
            <v>ພີນ</v>
          </cell>
          <cell r="BU35" t="str">
            <v>ສະຫວັນນະເຂດ</v>
          </cell>
          <cell r="BV35" t="str">
            <v>ຄ້າຂາຍ</v>
          </cell>
          <cell r="BX35" t="str">
            <v>ຕິ່ງຄໍາ ເຮືອນແກ້ວມະນີ</v>
          </cell>
          <cell r="BY35">
            <v>35607</v>
          </cell>
          <cell r="BZ35" t="str">
            <v>ໂພຄໍາ</v>
          </cell>
          <cell r="CA35" t="str">
            <v>ໄຊທານີ</v>
          </cell>
          <cell r="CB35" t="str">
            <v>ນະຄອນຫຼວງ</v>
          </cell>
          <cell r="CC35" t="str">
            <v>ຕໍາຫຼວດ</v>
          </cell>
          <cell r="CD35" t="str">
            <v>ປກສ ເມືອງ ໄຊທານີ</v>
          </cell>
          <cell r="CE35">
            <v>2</v>
          </cell>
          <cell r="CF35">
            <v>56773738</v>
          </cell>
          <cell r="CH35" t="str">
            <v>ປົກຄອງ</v>
          </cell>
        </row>
        <row r="36">
          <cell r="G36" t="str">
            <v>ນ. ວາດສະໜາ ກິນນະວົງ</v>
          </cell>
          <cell r="H36" t="str">
            <v>ຮອ</v>
          </cell>
          <cell r="I36" t="str">
            <v>ດ້າ</v>
          </cell>
          <cell r="J36" t="str">
            <v>ຍິງ</v>
          </cell>
          <cell r="K36">
            <v>32021</v>
          </cell>
          <cell r="L36" t="str">
            <v>37 ປີ</v>
          </cell>
          <cell r="M36">
            <v>44615</v>
          </cell>
          <cell r="O36" t="str">
            <v>ດອນຂາຊ້າຍ</v>
          </cell>
          <cell r="P36" t="str">
            <v>ຫາດຊາຍຟອງ</v>
          </cell>
          <cell r="Q36" t="str">
            <v>ນະຄອນຫຼວງ</v>
          </cell>
          <cell r="R36" t="str">
            <v>ດອນຂາຊ້າຍ</v>
          </cell>
          <cell r="S36" t="str">
            <v>ຫາດຊາຍຟອງ</v>
          </cell>
          <cell r="T36" t="str">
            <v>ນະຄອນຫຼວງ</v>
          </cell>
          <cell r="X36" t="str">
            <v>01-0177891</v>
          </cell>
          <cell r="Y36" t="str">
            <v>ລລ</v>
          </cell>
          <cell r="Z36" t="str">
            <v>ພຸດ</v>
          </cell>
          <cell r="AA36" t="str">
            <v>25539/ກພງ</v>
          </cell>
          <cell r="AB36">
            <v>42171</v>
          </cell>
          <cell r="AC36">
            <v>42171</v>
          </cell>
          <cell r="AE36">
            <v>43745</v>
          </cell>
          <cell r="AG36">
            <v>44141</v>
          </cell>
          <cell r="AI36">
            <v>38129</v>
          </cell>
          <cell r="AJ36">
            <v>38497</v>
          </cell>
          <cell r="AL36" t="str">
            <v>ສະມາຊິກ</v>
          </cell>
          <cell r="AM36" t="str">
            <v>ຮອງຫົວໜ້າພະແນກ</v>
          </cell>
          <cell r="AN36" t="str">
            <v>ມ 6</v>
          </cell>
          <cell r="AP36" t="str">
            <v>ປຕ</v>
          </cell>
          <cell r="AR36" t="str">
            <v>ບໍລິຫານທຸລະກິດ</v>
          </cell>
          <cell r="AS36" t="str">
            <v>ກໍ່ສ້າງ</v>
          </cell>
          <cell r="AT36" t="str">
            <v>ວິທະຍາໄລປາກປາສັກ, ໄຊພັດທະນາ</v>
          </cell>
          <cell r="AU36" t="str">
            <v>5 ປີ</v>
          </cell>
          <cell r="AV36" t="str">
            <v>2009 - 2014</v>
          </cell>
          <cell r="BJ36" t="str">
            <v>ບຸນລອດ ກິນນະວົງ</v>
          </cell>
          <cell r="BK36">
            <v>64</v>
          </cell>
          <cell r="BL36" t="str">
            <v>ດອນຂາຊ້າຍ</v>
          </cell>
          <cell r="BM36" t="str">
            <v>ຫາດຊາຍຟອງ</v>
          </cell>
          <cell r="BN36" t="str">
            <v>ນະຄອນຫຼວງ</v>
          </cell>
          <cell r="BO36" t="str">
            <v>ຊາວນາ</v>
          </cell>
          <cell r="BQ36" t="str">
            <v>ສຸລີ ກິນນະວົງ</v>
          </cell>
          <cell r="BR36">
            <v>62</v>
          </cell>
          <cell r="BS36" t="str">
            <v>ດອນຂາຊ້າຍ</v>
          </cell>
          <cell r="BT36" t="str">
            <v>ຫາດຊາຍຟອງ</v>
          </cell>
          <cell r="BU36" t="str">
            <v>ນະຄອນຫຼວງ</v>
          </cell>
          <cell r="BV36" t="str">
            <v>ຊາວນາ</v>
          </cell>
          <cell r="BX36" t="str">
            <v>ພົງສິດ ແສງໂສພາ</v>
          </cell>
          <cell r="BY36">
            <v>33920</v>
          </cell>
          <cell r="BZ36" t="str">
            <v>ດອນຂາຊ້າຍ</v>
          </cell>
          <cell r="CA36" t="str">
            <v>ຫາດຊາຍຟອງ</v>
          </cell>
          <cell r="CB36" t="str">
            <v>ນະຄອນຫຼວງ</v>
          </cell>
          <cell r="CC36" t="str">
            <v>ຕໍາຫຼວດ</v>
          </cell>
          <cell r="CD36" t="str">
            <v>ກົມໃຫຍ່ 501</v>
          </cell>
          <cell r="CE36">
            <v>2</v>
          </cell>
          <cell r="CF36">
            <v>55119090</v>
          </cell>
          <cell r="CH36" t="str">
            <v>ປົກຄອງ</v>
          </cell>
        </row>
        <row r="37">
          <cell r="G37" t="str">
            <v>ທ. ອາເບ ວົງປະເສີດ</v>
          </cell>
          <cell r="H37" t="str">
            <v>ຮອ</v>
          </cell>
          <cell r="I37" t="str">
            <v>ເບ</v>
          </cell>
          <cell r="J37" t="str">
            <v>ຊາຍ</v>
          </cell>
          <cell r="K37">
            <v>32258</v>
          </cell>
          <cell r="L37" t="str">
            <v>37 ປີ</v>
          </cell>
          <cell r="M37">
            <v>44867</v>
          </cell>
          <cell r="O37" t="str">
            <v>ຫ້ວຍເລິກ</v>
          </cell>
          <cell r="P37" t="str">
            <v>ທ່າພະບາດ</v>
          </cell>
          <cell r="Q37" t="str">
            <v>ບໍລິຄໍາໄຊ</v>
          </cell>
          <cell r="R37" t="str">
            <v>ອາມອນ</v>
          </cell>
          <cell r="S37" t="str">
            <v>ໄຊເສດຖາ</v>
          </cell>
          <cell r="T37" t="str">
            <v>ນະຄອນຫຼວງ</v>
          </cell>
          <cell r="W37" t="str">
            <v>10</v>
          </cell>
          <cell r="X37" t="str">
            <v>11-0010001</v>
          </cell>
          <cell r="Y37" t="str">
            <v>ລລ</v>
          </cell>
          <cell r="Z37" t="str">
            <v>ພຸດ</v>
          </cell>
          <cell r="AA37" t="str">
            <v>25550/ກພງ</v>
          </cell>
          <cell r="AB37">
            <v>42328</v>
          </cell>
          <cell r="AC37">
            <v>42328</v>
          </cell>
          <cell r="AE37">
            <v>43745</v>
          </cell>
          <cell r="AG37">
            <v>44141</v>
          </cell>
          <cell r="AI37">
            <v>38448</v>
          </cell>
          <cell r="AL37" t="str">
            <v>ຮອງຈຸພັກ</v>
          </cell>
          <cell r="AM37" t="str">
            <v>ຮອງຫົວໜ້າພະແນກ</v>
          </cell>
          <cell r="AN37" t="str">
            <v>ມ 6</v>
          </cell>
          <cell r="AO37" t="str">
            <v>ຫວຽດນາມ</v>
          </cell>
          <cell r="AP37" t="str">
            <v>ປຕ</v>
          </cell>
          <cell r="AQ37" t="str">
            <v>ຕ່າງປະເທດ</v>
          </cell>
          <cell r="AR37" t="str">
            <v>ສຶກສາການເມືອງ</v>
          </cell>
          <cell r="AS37" t="str">
            <v>ກໍ່ສ້າງ</v>
          </cell>
          <cell r="AT37" t="str">
            <v>ມະຫາວິທະຍາໄລຮ່າຕິງ</v>
          </cell>
          <cell r="AU37" t="str">
            <v>5 ປີ</v>
          </cell>
          <cell r="AV37" t="str">
            <v>2010 - 2015</v>
          </cell>
          <cell r="BJ37" t="str">
            <v>ສົມສະໝອນ ວົງປະເສີດ</v>
          </cell>
          <cell r="BK37">
            <v>59</v>
          </cell>
          <cell r="BL37" t="str">
            <v>ຫ້ວຍເລິກ</v>
          </cell>
          <cell r="BM37" t="str">
            <v>ທ່າພະບາດ</v>
          </cell>
          <cell r="BN37" t="str">
            <v>ບໍລິຄໍາໄຊ</v>
          </cell>
          <cell r="BO37" t="str">
            <v>ປະຊາຊົນ</v>
          </cell>
          <cell r="BQ37" t="str">
            <v>ສີດາໄລ ວົງປະເສີດ</v>
          </cell>
          <cell r="BR37">
            <v>54</v>
          </cell>
          <cell r="BS37" t="str">
            <v>ຫ້ວຍເລິກ</v>
          </cell>
          <cell r="BT37" t="str">
            <v>ທ່າພະບາດ</v>
          </cell>
          <cell r="BU37" t="str">
            <v>ບໍລິຄໍາໄຊ</v>
          </cell>
          <cell r="BV37" t="str">
            <v>ປະຊາຊົນ</v>
          </cell>
          <cell r="BW37" t="str">
            <v>ຫ້ວຍເລິກ</v>
          </cell>
          <cell r="BX37" t="str">
            <v>ນ. ມີນາ ສີວົງໄຊ</v>
          </cell>
          <cell r="BY37">
            <v>33979</v>
          </cell>
          <cell r="BZ37" t="str">
            <v>ອາມອນ</v>
          </cell>
          <cell r="CA37" t="str">
            <v>ໄຊເສດຖາ</v>
          </cell>
          <cell r="CB37" t="str">
            <v>ນະຄອນຫຼວງ</v>
          </cell>
          <cell r="CC37" t="str">
            <v>ປະຊາຊົນ</v>
          </cell>
          <cell r="CE37">
            <v>2</v>
          </cell>
          <cell r="CF37">
            <v>23072996</v>
          </cell>
          <cell r="CH37" t="str">
            <v>ປົກຄອງ</v>
          </cell>
        </row>
        <row r="38">
          <cell r="G38" t="str">
            <v>ນ. ພິມມະໄລລັກ ສີອານຸສັກ</v>
          </cell>
          <cell r="H38" t="str">
            <v>ຮອ</v>
          </cell>
          <cell r="I38" t="str">
            <v>ມີ່ມີ່</v>
          </cell>
          <cell r="J38" t="str">
            <v>ຍິງ</v>
          </cell>
          <cell r="K38">
            <v>33455</v>
          </cell>
          <cell r="L38" t="str">
            <v>33 ປີ</v>
          </cell>
          <cell r="M38">
            <v>44867</v>
          </cell>
          <cell r="O38" t="str">
            <v>ສະພານທອງກາງ</v>
          </cell>
          <cell r="P38" t="str">
            <v>ສີສັດຕະນາກ</v>
          </cell>
          <cell r="Q38" t="str">
            <v>ນະຄອນຫຼວງ</v>
          </cell>
          <cell r="R38" t="str">
            <v>ສົມສະຫງ່າ</v>
          </cell>
          <cell r="S38" t="str">
            <v>ໄຊເສດຖາ</v>
          </cell>
          <cell r="T38" t="str">
            <v>ນະຄອນຫຼວງ</v>
          </cell>
          <cell r="U38" t="str">
            <v>471</v>
          </cell>
          <cell r="W38" t="str">
            <v>06</v>
          </cell>
          <cell r="X38" t="str">
            <v>01-23081893</v>
          </cell>
          <cell r="Y38" t="str">
            <v>ລລ</v>
          </cell>
          <cell r="Z38" t="str">
            <v>ພຸດ</v>
          </cell>
          <cell r="AA38" t="str">
            <v>25553/ກພງ</v>
          </cell>
          <cell r="AB38">
            <v>42328</v>
          </cell>
          <cell r="AC38">
            <v>42328</v>
          </cell>
          <cell r="AE38">
            <v>43715</v>
          </cell>
          <cell r="AG38">
            <v>44141</v>
          </cell>
          <cell r="AI38">
            <v>38428</v>
          </cell>
          <cell r="AJ38">
            <v>38784</v>
          </cell>
          <cell r="AL38" t="str">
            <v>ສະມາຊິກ</v>
          </cell>
          <cell r="AM38" t="str">
            <v>ຮອງຫົວໜ້າພະແນກ</v>
          </cell>
          <cell r="AN38" t="str">
            <v>ມ 6</v>
          </cell>
          <cell r="AP38" t="str">
            <v>ປຕ</v>
          </cell>
          <cell r="AR38" t="str">
            <v>ການໂຮງແຮມ</v>
          </cell>
          <cell r="AS38" t="str">
            <v>ກໍ່ສ້າງ</v>
          </cell>
          <cell r="AT38" t="str">
            <v>ມະຫາວິທະຍາໄລ ແຫ່ງຊາດ</v>
          </cell>
          <cell r="AU38" t="str">
            <v>5 ປີ</v>
          </cell>
          <cell r="AV38" t="str">
            <v>2008 - 2013</v>
          </cell>
          <cell r="BJ38" t="str">
            <v>ຄໍາພູມີ ສີອານຸສັກ</v>
          </cell>
          <cell r="BK38">
            <v>65</v>
          </cell>
          <cell r="BL38" t="str">
            <v>ສົມສະຫງ່າ</v>
          </cell>
          <cell r="BM38" t="str">
            <v>ໄຊເສດຖາ</v>
          </cell>
          <cell r="BN38" t="str">
            <v>ນະຄອນຫຼວງ</v>
          </cell>
          <cell r="BO38" t="str">
            <v>ພະນັກງານ ບໍານານ</v>
          </cell>
          <cell r="BP38" t="str">
            <v>ກະຊວງປ້ອງກັນຄວາມສະຫງົບ</v>
          </cell>
          <cell r="BQ38" t="str">
            <v>ທອງລາ ສີອານຸສັກ</v>
          </cell>
          <cell r="BR38">
            <v>66</v>
          </cell>
          <cell r="BS38" t="str">
            <v>ສົມສະຫງ່າ</v>
          </cell>
          <cell r="BT38" t="str">
            <v>ໄຊເສດຖ</v>
          </cell>
          <cell r="BU38" t="str">
            <v>ນະຄອນຫຼວງ</v>
          </cell>
          <cell r="BV38" t="str">
            <v>ພະນັກງານ ບໍານານ</v>
          </cell>
          <cell r="BW38" t="str">
            <v>ໂຮງຮຽນມັດທະຍົມຕອນຕົ້ນໂພນທັນ</v>
          </cell>
          <cell r="BX38" t="str">
            <v>ຄໍາສະຫວາດ ຂັນທະນາຮັກ</v>
          </cell>
          <cell r="BY38">
            <v>32593</v>
          </cell>
          <cell r="BZ38" t="str">
            <v>ສົມສະຫງ່າ</v>
          </cell>
          <cell r="CA38" t="str">
            <v>ໄຊເສດຖ</v>
          </cell>
          <cell r="CB38" t="str">
            <v>ນະຄອນຫຼວງ</v>
          </cell>
          <cell r="CC38" t="str">
            <v>ຕໍາຫຼວດ</v>
          </cell>
          <cell r="CD38" t="str">
            <v>ກົມໃຫຍ່ສັນຕິບານ</v>
          </cell>
          <cell r="CE38">
            <v>0</v>
          </cell>
          <cell r="CF38">
            <v>77511533</v>
          </cell>
          <cell r="CH38" t="str">
            <v>ປົກຄອງ</v>
          </cell>
        </row>
        <row r="39">
          <cell r="G39" t="str">
            <v>ທ. ພອນໄຊ ພັນທະຈິດ</v>
          </cell>
          <cell r="H39" t="str">
            <v>ຮອ</v>
          </cell>
          <cell r="I39" t="str">
            <v>ໝາຍ</v>
          </cell>
          <cell r="J39" t="str">
            <v>ຊາຍ</v>
          </cell>
          <cell r="K39">
            <v>31523</v>
          </cell>
          <cell r="L39" t="str">
            <v>39 ປີ</v>
          </cell>
          <cell r="M39">
            <v>44615</v>
          </cell>
          <cell r="O39" t="str">
            <v>ສົບຮ່ານ</v>
          </cell>
          <cell r="P39" t="str">
            <v>ຜາ</v>
          </cell>
          <cell r="Q39" t="str">
            <v>ຜົ້ງສາລີ</v>
          </cell>
          <cell r="R39" t="str">
            <v>ວັດສົບ</v>
          </cell>
          <cell r="S39" t="str">
            <v>ສີສັດຕະນາກ</v>
          </cell>
          <cell r="T39" t="str">
            <v>ນະຄອນຫຼວງ</v>
          </cell>
          <cell r="U39" t="str">
            <v>088</v>
          </cell>
          <cell r="X39" t="str">
            <v>01-23040835</v>
          </cell>
          <cell r="Y39" t="str">
            <v>ລລ</v>
          </cell>
          <cell r="Z39" t="str">
            <v>ພຸດ</v>
          </cell>
          <cell r="AA39" t="str">
            <v>25548/ກພງ</v>
          </cell>
          <cell r="AB39">
            <v>42769</v>
          </cell>
          <cell r="AC39">
            <v>42769</v>
          </cell>
          <cell r="AE39">
            <v>42944</v>
          </cell>
          <cell r="AG39">
            <v>43385</v>
          </cell>
          <cell r="AI39">
            <v>37380</v>
          </cell>
          <cell r="AL39" t="str">
            <v>ຮອງຈຸພັກ</v>
          </cell>
          <cell r="AM39" t="str">
            <v>ຮອງຫົວໜ້າພະແນກ</v>
          </cell>
          <cell r="AN39" t="str">
            <v>ມ 6</v>
          </cell>
          <cell r="AO39" t="str">
            <v>ຈີນ, ອັງກິດ</v>
          </cell>
          <cell r="AP39" t="str">
            <v>ປທ</v>
          </cell>
          <cell r="AR39" t="str">
            <v>ປຽບທຽບການສຶກສາIT</v>
          </cell>
          <cell r="AS39" t="str">
            <v>ກໍ່ສ້າງ</v>
          </cell>
          <cell r="AT39" t="str">
            <v>ເຈີຈຽງຊືຟ້ານຕ້າແສ</v>
          </cell>
          <cell r="AU39" t="str">
            <v>2 ປີ</v>
          </cell>
          <cell r="AV39" t="str">
            <v>2018 - 2020</v>
          </cell>
          <cell r="BD39" t="str">
            <v>ຂັ້ນສູງ</v>
          </cell>
          <cell r="BE39" t="str">
            <v>ລັດທິເໝົາ</v>
          </cell>
          <cell r="BF39" t="str">
            <v>ບໍາລຸງ</v>
          </cell>
          <cell r="BG39" t="str">
            <v>ເຈີຈຽງຊືຟ້ານຕ້າແສ</v>
          </cell>
          <cell r="BH39" t="str">
            <v>2 ປີ</v>
          </cell>
          <cell r="BI39" t="str">
            <v>2018 - 2020</v>
          </cell>
          <cell r="BJ39" t="str">
            <v>ສົມຈັນ</v>
          </cell>
          <cell r="BK39">
            <v>83</v>
          </cell>
          <cell r="BL39" t="str">
            <v>ໜອງໜ້ຽວ</v>
          </cell>
          <cell r="BM39" t="str">
            <v>ສີໂຄດຕະບອງ</v>
          </cell>
          <cell r="BN39" t="str">
            <v>ນະຄອນຫຼວງ</v>
          </cell>
          <cell r="BO39" t="str">
            <v>ປະຊາຊົນ</v>
          </cell>
          <cell r="BQ39" t="str">
            <v>ສີ</v>
          </cell>
          <cell r="BR39">
            <v>80</v>
          </cell>
          <cell r="BS39" t="str">
            <v>ໜອງໜ້ຽວ</v>
          </cell>
          <cell r="BT39" t="str">
            <v>ສີໂຄດຕະບອງ</v>
          </cell>
          <cell r="BU39" t="str">
            <v>ນະຄອນຫຼວງ</v>
          </cell>
          <cell r="BV39" t="str">
            <v>ປະຊາຊົນ</v>
          </cell>
          <cell r="BX39" t="str">
            <v>ຕຸ່ນ ພັນທະຈິດ</v>
          </cell>
          <cell r="BY39">
            <v>33879</v>
          </cell>
          <cell r="BZ39" t="str">
            <v>ວັດສົບ</v>
          </cell>
          <cell r="CA39" t="str">
            <v>ສີສັດຕະນາກ</v>
          </cell>
          <cell r="CB39" t="str">
            <v>ນະຄອນຫຼວງ</v>
          </cell>
          <cell r="CC39" t="str">
            <v>ຄ້າຂາຍ</v>
          </cell>
          <cell r="CE39">
            <v>4</v>
          </cell>
          <cell r="CH39" t="str">
            <v>ປົກຄອງ
ລົງຮາກຖານ</v>
          </cell>
        </row>
        <row r="40">
          <cell r="G40" t="str">
            <v>ທ. ປທ ສີປະເສີດ ທິບພະວົງ</v>
          </cell>
          <cell r="H40" t="str">
            <v>ຮອ</v>
          </cell>
          <cell r="J40" t="str">
            <v>ຊາຍ</v>
          </cell>
          <cell r="K40">
            <v>34715</v>
          </cell>
          <cell r="L40" t="str">
            <v>30 ປີ</v>
          </cell>
          <cell r="M40">
            <v>44264</v>
          </cell>
          <cell r="O40" t="str">
            <v>ທ່າພະລານໄຊ</v>
          </cell>
          <cell r="P40" t="str">
            <v>ສີສັດຕະນາກ</v>
          </cell>
          <cell r="Q40" t="str">
            <v>ນະຄອນຫຼວງ</v>
          </cell>
          <cell r="R40" t="str">
            <v>ໂພນສະຫວ່າງ</v>
          </cell>
          <cell r="S40" t="str">
            <v>ສີສັດຕະນາກ</v>
          </cell>
          <cell r="T40" t="str">
            <v>ນະຄອນຫຼວງ</v>
          </cell>
          <cell r="X40" t="str">
            <v>ບໍ່ມີ</v>
          </cell>
          <cell r="Y40" t="str">
            <v>ລລ</v>
          </cell>
          <cell r="Z40" t="str">
            <v>ພຸດ</v>
          </cell>
          <cell r="AA40" t="str">
            <v>ບໍ່ມີ</v>
          </cell>
          <cell r="AB40">
            <v>41470</v>
          </cell>
          <cell r="AC40">
            <v>41470</v>
          </cell>
          <cell r="AE40">
            <v>43053</v>
          </cell>
          <cell r="AG40">
            <v>43433</v>
          </cell>
          <cell r="AI40">
            <v>41774</v>
          </cell>
          <cell r="AL40" t="str">
            <v>ສະມາຊິກ</v>
          </cell>
          <cell r="AM40" t="str">
            <v>ວິຊາການ</v>
          </cell>
          <cell r="AN40" t="str">
            <v>ມ 7</v>
          </cell>
          <cell r="AO40" t="str">
            <v>ຫວຽດນາມ</v>
          </cell>
          <cell r="AP40" t="str">
            <v>ປທ</v>
          </cell>
          <cell r="AQ40" t="str">
            <v>ຕ່າງປະເທດ</v>
          </cell>
          <cell r="AR40" t="str">
            <v>ຕ້ອງໂທດຕ້ານອາຊາຍະກໍາ</v>
          </cell>
          <cell r="AS40" t="str">
            <v>ກໍ່ສ້າງ</v>
          </cell>
          <cell r="AT40" t="str">
            <v>ສັນຕິບານ ປະຊາຊົນ ສສ ຫວຽດນາມ</v>
          </cell>
          <cell r="AU40" t="str">
            <v>02 ປີ</v>
          </cell>
          <cell r="AV40" t="str">
            <v>2020 - 2022</v>
          </cell>
          <cell r="BD40" t="str">
            <v>ຊກ</v>
          </cell>
          <cell r="BE40" t="str">
            <v>ແນວທາງມາກ-ເລນິນ ຄວາມຄິດໂຮ່ຈີມິນ</v>
          </cell>
          <cell r="BF40" t="str">
            <v>ບໍາລຸງ</v>
          </cell>
          <cell r="BG40" t="str">
            <v>ສັນຕິບານ ປະຊາຊົນ ສສ ຫວຽດນາມ</v>
          </cell>
          <cell r="BH40" t="str">
            <v>45 ວັນ</v>
          </cell>
          <cell r="BI40">
            <v>2017</v>
          </cell>
          <cell r="BJ40" t="str">
            <v>ບຸນມີ ທິບພະວົງ</v>
          </cell>
          <cell r="BK40" t="str">
            <v>ຕ</v>
          </cell>
          <cell r="BQ40" t="str">
            <v>ມະນີໄລ</v>
          </cell>
          <cell r="BR40">
            <v>55</v>
          </cell>
          <cell r="BS40" t="str">
            <v>ໂພນສະຫວ່າງ</v>
          </cell>
          <cell r="BT40" t="str">
            <v>ສີສັດຕະນາກ</v>
          </cell>
          <cell r="BU40" t="str">
            <v>ນະຄອນຫຼວງ</v>
          </cell>
          <cell r="BV40" t="str">
            <v>ຕໍາຫຼວດ</v>
          </cell>
          <cell r="BW40" t="str">
            <v>ໂຮງໝໍ 5 ເມສາ</v>
          </cell>
          <cell r="CF40">
            <v>99414199</v>
          </cell>
          <cell r="CH40" t="str">
            <v>ສັນຕິບານ</v>
          </cell>
        </row>
        <row r="41">
          <cell r="G41" t="str">
            <v>ທ. ໂກເລຍ ສີຄຳເຮືອງ</v>
          </cell>
          <cell r="H41" t="str">
            <v>ຮອ</v>
          </cell>
          <cell r="J41" t="str">
            <v>ຊາຍ</v>
          </cell>
          <cell r="K41">
            <v>33851</v>
          </cell>
          <cell r="L41" t="str">
            <v>32 ປີ</v>
          </cell>
          <cell r="M41">
            <v>44615</v>
          </cell>
          <cell r="O41" t="str">
            <v>ໂພໄຊ</v>
          </cell>
          <cell r="P41" t="str">
            <v>ວັງວຽງ</v>
          </cell>
          <cell r="Q41" t="str">
            <v>ວຽງຈັນ</v>
          </cell>
          <cell r="R41" t="str">
            <v>ເມືອງນ້ອຍ</v>
          </cell>
          <cell r="S41" t="str">
            <v>ໄຊເສດຖາ</v>
          </cell>
          <cell r="T41" t="str">
            <v>ນະຄອນຫຼວງ</v>
          </cell>
          <cell r="V41" t="str">
            <v>ເມືອງນ້ອຍ</v>
          </cell>
          <cell r="W41" t="str">
            <v>14</v>
          </cell>
          <cell r="X41" t="str">
            <v>10-0154360</v>
          </cell>
          <cell r="Y41" t="str">
            <v>ລລ</v>
          </cell>
          <cell r="Z41" t="str">
            <v>ພຸດ</v>
          </cell>
          <cell r="AA41" t="str">
            <v>ບໍ່ມີ</v>
          </cell>
          <cell r="AB41">
            <v>42171</v>
          </cell>
          <cell r="AC41">
            <v>42171</v>
          </cell>
          <cell r="AE41">
            <v>43745</v>
          </cell>
          <cell r="AG41">
            <v>44110</v>
          </cell>
          <cell r="AI41">
            <v>40125</v>
          </cell>
          <cell r="AL41" t="str">
            <v>ສະມາຊິກ</v>
          </cell>
          <cell r="AM41" t="str">
            <v>ວິຊາການ</v>
          </cell>
          <cell r="AN41" t="str">
            <v>ມ 6</v>
          </cell>
          <cell r="AO41" t="str">
            <v>ອັງກິດ</v>
          </cell>
          <cell r="AP41" t="str">
            <v>ປຕ</v>
          </cell>
          <cell r="AR41" t="str">
            <v>ບັນຊີການເງິນ</v>
          </cell>
          <cell r="AS41" t="str">
            <v>ກໍ່ສ້າງ</v>
          </cell>
          <cell r="AT41" t="str">
            <v>ມະຫາວິທະຍາໄລແຫ່ງຊາດ</v>
          </cell>
          <cell r="AU41" t="str">
            <v>5 ປີ</v>
          </cell>
          <cell r="AV41" t="str">
            <v>2009 - 2014</v>
          </cell>
          <cell r="BJ41" t="str">
            <v>ຄໍາໝັ້ນ ສີຄໍາເຮືອງ</v>
          </cell>
          <cell r="BK41">
            <v>64</v>
          </cell>
          <cell r="BL41" t="str">
            <v>ໂພໄຊ</v>
          </cell>
          <cell r="BM41" t="str">
            <v>ວັງວຽງ</v>
          </cell>
          <cell r="BN41" t="str">
            <v>ວຽງຈັນ</v>
          </cell>
          <cell r="BO41" t="str">
            <v>ພະນັກງານ ບໍານານ</v>
          </cell>
          <cell r="BQ41" t="str">
            <v>ອ່ອນຕາ ຂັນຕິ</v>
          </cell>
          <cell r="BR41">
            <v>55</v>
          </cell>
          <cell r="BS41" t="str">
            <v>ໂພໄຊ</v>
          </cell>
          <cell r="BT41" t="str">
            <v>ວັງວຽງ</v>
          </cell>
          <cell r="BU41" t="str">
            <v>ວຽງຈັນ</v>
          </cell>
          <cell r="BV41" t="str">
            <v>ພະນັກງານ ບໍານານ</v>
          </cell>
          <cell r="BX41" t="str">
            <v>ທົດສະພອນ ພົມວິໄລ</v>
          </cell>
          <cell r="BY41">
            <v>37226</v>
          </cell>
          <cell r="BZ41" t="str">
            <v>ເມືອງນ້ອຍ</v>
          </cell>
          <cell r="CA41" t="str">
            <v>ໄຊເສດຖາ</v>
          </cell>
          <cell r="CB41" t="str">
            <v>ນະຄອນຫຼວງ</v>
          </cell>
          <cell r="CC41" t="str">
            <v>ປະຊາຊົນ</v>
          </cell>
          <cell r="CE41">
            <v>1</v>
          </cell>
          <cell r="CF41">
            <v>29982994</v>
          </cell>
          <cell r="CH41" t="str">
            <v>ປົກຄອງ</v>
          </cell>
        </row>
        <row r="42">
          <cell r="G42" t="str">
            <v>ທ. ປາສິດຕ່າ ແກ້ວມາລາວົງ</v>
          </cell>
          <cell r="H42" t="str">
            <v>ຮອ</v>
          </cell>
          <cell r="I42" t="str">
            <v>ຕ່າ</v>
          </cell>
          <cell r="J42" t="str">
            <v>ຊາຍ</v>
          </cell>
          <cell r="K42">
            <v>34013</v>
          </cell>
          <cell r="L42" t="str">
            <v>32 ປີ</v>
          </cell>
          <cell r="M42">
            <v>45373</v>
          </cell>
          <cell r="O42" t="str">
            <v>ໂພນງາມໃຕ້</v>
          </cell>
          <cell r="P42" t="str">
            <v>ແປກ</v>
          </cell>
          <cell r="Q42" t="str">
            <v>ຊຽງຊວາງ</v>
          </cell>
          <cell r="R42" t="str">
            <v>ອາມອນ</v>
          </cell>
          <cell r="S42" t="str">
            <v xml:space="preserve">   ໄຊເສດຖາ</v>
          </cell>
          <cell r="T42" t="str">
            <v>ນະຄອນຫຼວງ</v>
          </cell>
          <cell r="W42" t="str">
            <v>15</v>
          </cell>
          <cell r="X42" t="str">
            <v>09-20006032</v>
          </cell>
          <cell r="Y42" t="str">
            <v>ລລ</v>
          </cell>
          <cell r="Z42" t="str">
            <v>ພຸດ</v>
          </cell>
          <cell r="AA42" t="str">
            <v>35623/ກພງ</v>
          </cell>
          <cell r="AB42">
            <v>41082</v>
          </cell>
          <cell r="AC42">
            <v>41082</v>
          </cell>
          <cell r="AE42">
            <v>43875</v>
          </cell>
          <cell r="AG42">
            <v>44410</v>
          </cell>
          <cell r="AI42">
            <v>43556</v>
          </cell>
          <cell r="AL42" t="str">
            <v>ສະມາຊິກ</v>
          </cell>
          <cell r="AM42" t="str">
            <v>ວິຊາການ</v>
          </cell>
          <cell r="AN42" t="str">
            <v>ມ 7</v>
          </cell>
          <cell r="AO42" t="str">
            <v>ຫວຽດນາມ</v>
          </cell>
          <cell r="AP42" t="str">
            <v>ປຕ</v>
          </cell>
          <cell r="AQ42" t="str">
            <v>ຕ່າງປະເທດ</v>
          </cell>
          <cell r="AR42" t="str">
            <v>ສະກັດກັ້ນ ແລະ ຕ້ານການກະທໍາຜິດທາງສິ່ງແວດລ້ອມ</v>
          </cell>
          <cell r="AS42" t="str">
            <v>ກໍ່ສ້າງ</v>
          </cell>
          <cell r="AT42" t="str">
            <v>ວິທະຍາຄານຕໍາຫຼວດຫວຽດນາມ</v>
          </cell>
          <cell r="AU42" t="str">
            <v>6 ປີ</v>
          </cell>
          <cell r="AV42" t="str">
            <v>2014 - 2020</v>
          </cell>
          <cell r="BD42" t="str">
            <v>ຊກ</v>
          </cell>
          <cell r="BE42" t="str">
            <v>ປັດຊະຍາມາກ-ເລນິນ</v>
          </cell>
          <cell r="BF42" t="str">
            <v>ບໍາລຸງ</v>
          </cell>
          <cell r="BG42" t="str">
            <v>ວິທະຍາຄານຕໍາຫຼວດຫວຽດນາມ</v>
          </cell>
          <cell r="BH42" t="str">
            <v>45 ວັນ</v>
          </cell>
          <cell r="BI42" t="str">
            <v>2019 - 2020</v>
          </cell>
          <cell r="BJ42" t="str">
            <v>ທອງສີ ລາຊາວົງໄຊ</v>
          </cell>
          <cell r="BK42">
            <v>71</v>
          </cell>
          <cell r="BL42" t="str">
            <v>ຊ້າງຄູ້</v>
          </cell>
          <cell r="BM42" t="str">
            <v>ໄຊທານີ</v>
          </cell>
          <cell r="BN42" t="str">
            <v>ນະຄອນຫຼວງ</v>
          </cell>
          <cell r="BO42" t="str">
            <v>ພໍ່ບ້ານ</v>
          </cell>
          <cell r="BQ42" t="str">
            <v>ເພັດສະໝອນ ແກ້ວມາລາວົງ</v>
          </cell>
          <cell r="BR42">
            <v>61</v>
          </cell>
          <cell r="BS42" t="str">
            <v>ໂພນງາມໃຕ້</v>
          </cell>
          <cell r="BT42" t="str">
            <v>ແປກ</v>
          </cell>
          <cell r="BU42" t="str">
            <v>ຊຽງຂວາງ</v>
          </cell>
          <cell r="BV42" t="str">
            <v>ແມ່ບ້ານ</v>
          </cell>
          <cell r="BX42" t="str">
            <v>ສົມລິດ ສີປະເສີດ</v>
          </cell>
          <cell r="BY42">
            <v>33908</v>
          </cell>
          <cell r="BZ42" t="str">
            <v>ອາມອນ</v>
          </cell>
          <cell r="CA42" t="str">
            <v>ໄຊເສດຖາ</v>
          </cell>
          <cell r="CB42" t="str">
            <v>ນະຄອນຫຼວງ</v>
          </cell>
          <cell r="CC42" t="str">
            <v>ພະນັກງານ</v>
          </cell>
          <cell r="CD42" t="str">
            <v>ກົມໃຫຍ່ຕໍາຫຼວດສິ່ງແວດລ້ອມ</v>
          </cell>
          <cell r="CE42">
            <v>1</v>
          </cell>
          <cell r="CF42">
            <v>77555010</v>
          </cell>
          <cell r="CH42" t="str">
            <v>ຕໍາຫຼວດ</v>
          </cell>
        </row>
        <row r="43">
          <cell r="G43" t="str">
            <v>ທ. ປະສົງໄຊ ແສງຮຸ່ງທອງ</v>
          </cell>
          <cell r="H43" t="str">
            <v>ຮອ</v>
          </cell>
          <cell r="I43" t="str">
            <v>ອິດ</v>
          </cell>
          <cell r="J43" t="str">
            <v>ຊາຍ</v>
          </cell>
          <cell r="K43">
            <v>33147</v>
          </cell>
          <cell r="L43" t="str">
            <v>34 ປີ</v>
          </cell>
          <cell r="M43">
            <v>45373</v>
          </cell>
          <cell r="O43" t="str">
            <v>ວັງຊາຍ</v>
          </cell>
          <cell r="P43" t="str">
            <v>ໄຊເສດຖາ</v>
          </cell>
          <cell r="Q43" t="str">
            <v>ນະຄອນຫຼວງ</v>
          </cell>
          <cell r="R43" t="str">
            <v>ຄຳຮຸ່ງ</v>
          </cell>
          <cell r="S43" t="str">
            <v>ໄຊທານີ</v>
          </cell>
          <cell r="T43" t="str">
            <v>ນະຄອນຫຼວງ</v>
          </cell>
          <cell r="U43" t="str">
            <v>119</v>
          </cell>
          <cell r="V43" t="str">
            <v>ໂພນຕ້ອງ-ດົງໂດກ</v>
          </cell>
          <cell r="W43" t="str">
            <v>06</v>
          </cell>
          <cell r="X43" t="str">
            <v>ບໍ່ມີ</v>
          </cell>
          <cell r="Y43" t="str">
            <v>ລລ</v>
          </cell>
          <cell r="Z43" t="str">
            <v>ພຸດ</v>
          </cell>
          <cell r="AA43" t="str">
            <v>ບໍ່ມີ</v>
          </cell>
          <cell r="AB43">
            <v>43083</v>
          </cell>
          <cell r="AC43">
            <v>43083</v>
          </cell>
          <cell r="AE43">
            <v>44558</v>
          </cell>
          <cell r="AG43">
            <v>44911</v>
          </cell>
          <cell r="AI43">
            <v>39057</v>
          </cell>
          <cell r="AL43" t="str">
            <v>ສະມາຊິກ</v>
          </cell>
          <cell r="AM43" t="str">
            <v>ວິຊາການ</v>
          </cell>
          <cell r="AN43" t="str">
            <v>ມ 6</v>
          </cell>
          <cell r="AP43" t="str">
            <v>ປຕ</v>
          </cell>
          <cell r="AR43" t="str">
            <v>ບໍລິຫານ</v>
          </cell>
          <cell r="AS43" t="str">
            <v>ກໍ່ສ້າງ</v>
          </cell>
          <cell r="AT43" t="str">
            <v>ວິທະຍາໄລ ເສດຖາ</v>
          </cell>
          <cell r="AU43" t="str">
            <v>4 ປີ</v>
          </cell>
          <cell r="AV43" t="str">
            <v>2012 - 2016</v>
          </cell>
          <cell r="BJ43" t="str">
            <v>ວິຊວງ ແສງຮຸ່ງທອງ</v>
          </cell>
          <cell r="BK43" t="str">
            <v>ຕ</v>
          </cell>
          <cell r="BQ43" t="str">
            <v>ວົງສີ ແສງຮຸ່ງທອງ</v>
          </cell>
          <cell r="BR43">
            <v>65</v>
          </cell>
          <cell r="BS43" t="str">
            <v>ຄໍ່ຮຸ່ງ</v>
          </cell>
          <cell r="BT43" t="str">
            <v>ໄຊທານີ</v>
          </cell>
          <cell r="BU43" t="str">
            <v>ນະຄອນຫຼວງ</v>
          </cell>
          <cell r="BV43" t="str">
            <v>ປະຊາຊົນ</v>
          </cell>
          <cell r="CF43">
            <v>28289928</v>
          </cell>
          <cell r="CH43" t="str">
            <v>ປົກຄອງ</v>
          </cell>
        </row>
        <row r="44">
          <cell r="G44" t="str">
            <v>ທ. ບຸນຄານ ໄຊຍະເພັງ</v>
          </cell>
          <cell r="H44" t="str">
            <v>ຮອ</v>
          </cell>
          <cell r="I44" t="str">
            <v>ແຊມ</v>
          </cell>
          <cell r="J44" t="str">
            <v>ຊາຍ</v>
          </cell>
          <cell r="K44">
            <v>33305</v>
          </cell>
          <cell r="L44" t="str">
            <v>34 ປີ</v>
          </cell>
          <cell r="M44">
            <v>44903</v>
          </cell>
          <cell r="O44" t="str">
            <v>ຫ້ວຍຫົງ</v>
          </cell>
          <cell r="P44" t="str">
            <v>ຈັນທະບູລີ</v>
          </cell>
          <cell r="Q44" t="str">
            <v>ນະຄອນຫຼວງ</v>
          </cell>
          <cell r="R44" t="str">
            <v>ໂນນສະອາດ</v>
          </cell>
          <cell r="S44" t="str">
            <v>ໄຊທານີ</v>
          </cell>
          <cell r="T44" t="str">
            <v>ນະຄອນຫຼວງ</v>
          </cell>
          <cell r="U44" t="str">
            <v>044</v>
          </cell>
          <cell r="V44" t="str">
            <v>ໄກສອນ</v>
          </cell>
          <cell r="W44" t="str">
            <v>09</v>
          </cell>
          <cell r="X44" t="str">
            <v>A-1-004588</v>
          </cell>
          <cell r="Y44" t="str">
            <v>ລລ</v>
          </cell>
          <cell r="Z44" t="str">
            <v>ພຸດ</v>
          </cell>
          <cell r="AA44" t="str">
            <v>37049/ກພງ</v>
          </cell>
          <cell r="AB44">
            <v>39479</v>
          </cell>
          <cell r="AC44">
            <v>39479</v>
          </cell>
          <cell r="AE44">
            <v>43010</v>
          </cell>
          <cell r="AG44">
            <v>43577</v>
          </cell>
          <cell r="AI44">
            <v>39000</v>
          </cell>
          <cell r="AL44" t="str">
            <v>ສະມາຊິກ</v>
          </cell>
          <cell r="AM44" t="str">
            <v>ວິຊາການ</v>
          </cell>
          <cell r="AN44" t="str">
            <v>ມ 6</v>
          </cell>
          <cell r="AP44" t="str">
            <v>ປຕ</v>
          </cell>
          <cell r="AR44" t="str">
            <v>ການເມືອງ</v>
          </cell>
          <cell r="AS44" t="str">
            <v>ກໍ່ສ້າງ</v>
          </cell>
          <cell r="AT44" t="str">
            <v>ວິທະຍາຄານກົມມະດໍາ</v>
          </cell>
          <cell r="AU44" t="str">
            <v>4 ປີ</v>
          </cell>
          <cell r="AV44" t="str">
            <v>2020 - 2024</v>
          </cell>
          <cell r="BJ44" t="str">
            <v>ຄູນ ໄຊຍະເພັງ</v>
          </cell>
          <cell r="BK44">
            <v>68</v>
          </cell>
          <cell r="BL44" t="str">
            <v>ໂນນສະອາດ</v>
          </cell>
          <cell r="BM44" t="str">
            <v>ໄຊທານີ</v>
          </cell>
          <cell r="BN44" t="str">
            <v>ນະຄອນຫຼວງ</v>
          </cell>
          <cell r="BO44" t="str">
            <v>ປະຊາຊົນ</v>
          </cell>
          <cell r="BQ44" t="str">
            <v>ແພງພອນ ໄຊຍະແພງ</v>
          </cell>
          <cell r="BR44">
            <v>68</v>
          </cell>
          <cell r="BS44" t="str">
            <v>ໂນນສະອາດ</v>
          </cell>
          <cell r="BT44" t="str">
            <v>ໄຊທານີ</v>
          </cell>
          <cell r="BU44" t="str">
            <v>ນະຄອນຫຼວງ</v>
          </cell>
          <cell r="BV44" t="str">
            <v>ປະຊາຊົນ</v>
          </cell>
          <cell r="CF44">
            <v>97733114</v>
          </cell>
          <cell r="CH44" t="str">
            <v>ປົກຄອງ</v>
          </cell>
        </row>
        <row r="45">
          <cell r="G45" t="str">
            <v>ນ. ແສງດາວ ໄຊຍະແສງ</v>
          </cell>
          <cell r="H45" t="str">
            <v>ຮອ</v>
          </cell>
          <cell r="I45" t="str">
            <v>ດາວ</v>
          </cell>
          <cell r="J45" t="str">
            <v>ຍິງ</v>
          </cell>
          <cell r="K45">
            <v>34005</v>
          </cell>
          <cell r="L45" t="str">
            <v>32 ປີ</v>
          </cell>
          <cell r="M45">
            <v>45240</v>
          </cell>
          <cell r="O45" t="str">
            <v>ໜອງດົງ</v>
          </cell>
          <cell r="P45" t="str">
            <v>ຄໍາເກີດ</v>
          </cell>
          <cell r="Q45" t="str">
            <v>ບໍລິຄໍາໄຊ</v>
          </cell>
          <cell r="R45" t="str">
            <v>ຈຽມປາງ</v>
          </cell>
          <cell r="S45" t="str">
            <v>ຫາດຊາຍຟອງ</v>
          </cell>
          <cell r="T45" t="str">
            <v>ນະຄອນຫຼວງ</v>
          </cell>
          <cell r="X45" t="str">
            <v>ບໍ່ມີ</v>
          </cell>
          <cell r="Y45" t="str">
            <v>ລລ</v>
          </cell>
          <cell r="Z45" t="str">
            <v>ພຸດ</v>
          </cell>
          <cell r="AA45" t="str">
            <v>11035/ກພງ</v>
          </cell>
          <cell r="AB45">
            <v>40840</v>
          </cell>
          <cell r="AC45">
            <v>40840</v>
          </cell>
          <cell r="AE45">
            <v>42916</v>
          </cell>
          <cell r="AG45">
            <v>43577</v>
          </cell>
          <cell r="AI45">
            <v>39967</v>
          </cell>
          <cell r="AJ45">
            <v>40630</v>
          </cell>
          <cell r="AL45" t="str">
            <v>ສະມາຊິກ</v>
          </cell>
          <cell r="AM45" t="str">
            <v>ວິຊາການ</v>
          </cell>
          <cell r="AN45" t="str">
            <v>ມ 7</v>
          </cell>
          <cell r="AP45" t="str">
            <v>ປຕ</v>
          </cell>
          <cell r="AQ45" t="str">
            <v>ພາຍໃນ</v>
          </cell>
          <cell r="AR45" t="str">
            <v>ຄຸ້ມຄອງລັດ</v>
          </cell>
          <cell r="AS45" t="str">
            <v>ຕໍ່ເນື່ອງ</v>
          </cell>
          <cell r="AT45" t="str">
            <v>ວິທະຍາຄານ ສັນຕິບານ ປະຊາຊົນ</v>
          </cell>
          <cell r="AU45" t="str">
            <v>2 ປີ</v>
          </cell>
          <cell r="AV45" t="str">
            <v>2019 - 2021</v>
          </cell>
          <cell r="BJ45" t="str">
            <v>ທອງສາ</v>
          </cell>
          <cell r="BK45" t="str">
            <v>ຕ</v>
          </cell>
          <cell r="BQ45" t="str">
            <v>ຄອນ</v>
          </cell>
          <cell r="BR45" t="str">
            <v>ຕ</v>
          </cell>
          <cell r="BX45" t="str">
            <v>ບັນທຶກ</v>
          </cell>
          <cell r="BY45">
            <v>34216</v>
          </cell>
          <cell r="BZ45" t="str">
            <v>ຈຽມປາງ</v>
          </cell>
          <cell r="CA45" t="str">
            <v>ຫາດຊາຍຟອງ</v>
          </cell>
          <cell r="CB45" t="str">
            <v>ນະຄອນຫຼວງ</v>
          </cell>
          <cell r="CE45">
            <v>1</v>
          </cell>
          <cell r="CF45">
            <v>99692589</v>
          </cell>
          <cell r="CH45" t="str">
            <v>ສັນຕິບານ</v>
          </cell>
        </row>
        <row r="46">
          <cell r="G46" t="str">
            <v>ນ. ອັອດ ແກ້ວບຸນຍໍ</v>
          </cell>
          <cell r="H46" t="str">
            <v>ຮອ</v>
          </cell>
          <cell r="J46" t="str">
            <v>ຍິງ</v>
          </cell>
          <cell r="K46">
            <v>33840</v>
          </cell>
          <cell r="L46" t="str">
            <v>32 ປີ</v>
          </cell>
          <cell r="M46">
            <v>45618</v>
          </cell>
          <cell r="O46" t="str">
            <v>ໂຊດ</v>
          </cell>
          <cell r="P46" t="str">
            <v>ແອັດ</v>
          </cell>
          <cell r="Q46" t="str">
            <v>ຫົວພັນ</v>
          </cell>
          <cell r="R46" t="str">
            <v>ທ່ານາກ</v>
          </cell>
          <cell r="S46" t="str">
            <v>ໄຊທານີ</v>
          </cell>
          <cell r="T46" t="str">
            <v>ນະຄອນຫຼວງ</v>
          </cell>
          <cell r="X46" t="str">
            <v>ບໍ່ມີ</v>
          </cell>
          <cell r="Y46" t="str">
            <v>ລລ</v>
          </cell>
          <cell r="Z46" t="str">
            <v>ພຸດ</v>
          </cell>
          <cell r="AA46" t="str">
            <v>ບໍ່ມີ</v>
          </cell>
          <cell r="AB46">
            <v>40840</v>
          </cell>
          <cell r="AC46">
            <v>40840</v>
          </cell>
          <cell r="AE46">
            <v>43319</v>
          </cell>
          <cell r="AG46">
            <v>43745</v>
          </cell>
          <cell r="AI46">
            <v>39932</v>
          </cell>
          <cell r="AJ46">
            <v>40741</v>
          </cell>
          <cell r="AL46" t="str">
            <v>ສະມາຊິກ</v>
          </cell>
          <cell r="AM46" t="str">
            <v>ວິຊາການ</v>
          </cell>
          <cell r="AN46" t="str">
            <v>ມ 7</v>
          </cell>
          <cell r="AP46" t="str">
            <v>ປຕ</v>
          </cell>
          <cell r="AR46" t="str">
            <v>ການເມືອງ ແລະ ບໍລິຫານລັດຖະກິດ</v>
          </cell>
          <cell r="AS46" t="str">
            <v>ຕໍ່ເນື່ອງ</v>
          </cell>
          <cell r="AT46" t="str">
            <v>ມະຫາວິທະຍາໄລແຫ່ງຊາດ</v>
          </cell>
          <cell r="AU46" t="str">
            <v>2 ປີ</v>
          </cell>
          <cell r="AV46" t="str">
            <v>2019 - 2021</v>
          </cell>
          <cell r="BJ46" t="str">
            <v>ບຸນຍໍ</v>
          </cell>
          <cell r="BK46">
            <v>66</v>
          </cell>
          <cell r="BL46" t="str">
            <v>ທ່ານາກ</v>
          </cell>
          <cell r="BM46" t="str">
            <v>ໄຊທານີ</v>
          </cell>
          <cell r="BN46" t="str">
            <v>ນະຄອນຫຼວງ</v>
          </cell>
          <cell r="BO46" t="str">
            <v>ປະຊາຊົນ</v>
          </cell>
          <cell r="BQ46" t="str">
            <v>ອຸ້ຍ</v>
          </cell>
          <cell r="BR46">
            <v>65</v>
          </cell>
          <cell r="BS46" t="str">
            <v>ທ່ານາກ</v>
          </cell>
          <cell r="BT46" t="str">
            <v>ໄຊທານີ</v>
          </cell>
          <cell r="BU46" t="str">
            <v>ນະຄອນຫຼວງ</v>
          </cell>
          <cell r="BV46" t="str">
            <v>ປະຊາຊົນ</v>
          </cell>
          <cell r="BX46" t="str">
            <v>ສີກັນດາ ສິດທິໄຊ</v>
          </cell>
          <cell r="BY46">
            <v>34245</v>
          </cell>
          <cell r="BZ46" t="str">
            <v>ທ່ານາກ</v>
          </cell>
          <cell r="CA46" t="str">
            <v>ໄຊທານີ</v>
          </cell>
          <cell r="CB46" t="str">
            <v>ນະຄອນຫຼວງ</v>
          </cell>
          <cell r="CC46" t="str">
            <v>ພະນັກງານ</v>
          </cell>
          <cell r="CD46" t="str">
            <v>ພະແນກພະລັງງານ ແລະ ບໍແຮ່</v>
          </cell>
          <cell r="CE46">
            <v>2</v>
          </cell>
          <cell r="CF46">
            <v>77467976</v>
          </cell>
          <cell r="CH46" t="str">
            <v>ຕໍາຫຼວດ</v>
          </cell>
        </row>
        <row r="47">
          <cell r="G47" t="str">
            <v>ນ. ອານົງຄານ ວົງພະຈັນ</v>
          </cell>
          <cell r="H47" t="str">
            <v>ຮອ</v>
          </cell>
          <cell r="I47" t="str">
            <v>ນ້ອຍ</v>
          </cell>
          <cell r="J47" t="str">
            <v>ຍິງ</v>
          </cell>
          <cell r="K47">
            <v>33015</v>
          </cell>
          <cell r="L47" t="str">
            <v>35 ປີ</v>
          </cell>
          <cell r="M47">
            <v>44481</v>
          </cell>
          <cell r="O47" t="str">
            <v>ບຶງຂະຫຍອງ</v>
          </cell>
          <cell r="P47" t="str">
            <v>ສີສັດຕະນາກ</v>
          </cell>
          <cell r="Q47" t="str">
            <v>ນະຄອນຫຼວງ</v>
          </cell>
          <cell r="R47" t="str">
            <v>ໜອງພະຍາ</v>
          </cell>
          <cell r="S47" t="str">
            <v>ໄຊທານີ</v>
          </cell>
          <cell r="T47" t="str">
            <v>ນະຄອນຫຼວງ</v>
          </cell>
          <cell r="U47" t="str">
            <v>731</v>
          </cell>
          <cell r="W47" t="str">
            <v>03</v>
          </cell>
          <cell r="X47" t="str">
            <v>ບໍ່ມີ</v>
          </cell>
          <cell r="Y47" t="str">
            <v>ລລ</v>
          </cell>
          <cell r="Z47" t="str">
            <v>ພຸດ</v>
          </cell>
          <cell r="AA47" t="str">
            <v>25547/ກພງ</v>
          </cell>
          <cell r="AB47">
            <v>40616</v>
          </cell>
          <cell r="AC47">
            <v>40616</v>
          </cell>
          <cell r="AE47">
            <v>42823</v>
          </cell>
          <cell r="AG47">
            <v>43306</v>
          </cell>
          <cell r="AI47">
            <v>38497</v>
          </cell>
          <cell r="AJ47">
            <v>39529</v>
          </cell>
          <cell r="AL47" t="str">
            <v>ສະມາຊິກ</v>
          </cell>
          <cell r="AM47" t="str">
            <v>ວິຊາການ</v>
          </cell>
          <cell r="AN47" t="str">
            <v>ມ 6</v>
          </cell>
          <cell r="AP47" t="str">
            <v>ປຕ</v>
          </cell>
          <cell r="AQ47" t="str">
            <v>ພາຍໃນ</v>
          </cell>
          <cell r="AR47" t="str">
            <v>ຕ້ານນັກສືບ</v>
          </cell>
          <cell r="AS47" t="str">
            <v>ກໍ່ສ້າງ</v>
          </cell>
          <cell r="AT47" t="str">
            <v>ວປສ ແຫ່ງຊາດ</v>
          </cell>
          <cell r="AU47" t="str">
            <v>4 ປີ</v>
          </cell>
          <cell r="AV47" t="str">
            <v>2014 - 2018</v>
          </cell>
          <cell r="BJ47" t="str">
            <v>ອ່ອນຄໍາ</v>
          </cell>
          <cell r="BL47" t="str">
            <v>ໜອງພະຍາ</v>
          </cell>
          <cell r="BM47" t="str">
            <v>ໄຊທານີ</v>
          </cell>
          <cell r="BN47" t="str">
            <v>ນະຄອນຫຼວງ</v>
          </cell>
          <cell r="BO47" t="str">
            <v>ພະນັກງານ ບໍານານ</v>
          </cell>
          <cell r="BQ47" t="str">
            <v>ຄໍາໝັ້ນ</v>
          </cell>
          <cell r="BS47" t="str">
            <v>ໜອງພະຍາ</v>
          </cell>
          <cell r="BT47" t="str">
            <v>ໄຊທານີ</v>
          </cell>
          <cell r="BU47" t="str">
            <v>ນະຄອນຫຼວງ</v>
          </cell>
          <cell r="BV47" t="str">
            <v>ປະຊາຊົນ</v>
          </cell>
          <cell r="BX47" t="str">
            <v>ຈັນທະສອນ ທອງມະນີວົງ</v>
          </cell>
          <cell r="BY47">
            <v>32301</v>
          </cell>
          <cell r="BZ47" t="str">
            <v>ໜອງພະຍາ</v>
          </cell>
          <cell r="CA47" t="str">
            <v>ໄຊທານີ</v>
          </cell>
          <cell r="CB47" t="str">
            <v>ນະຄອນຫຼວງ</v>
          </cell>
          <cell r="CC47" t="str">
            <v>ທະຫານ</v>
          </cell>
          <cell r="CD47" t="str">
            <v>ກອງບັນຊາການທະຫານສັງທອງ</v>
          </cell>
          <cell r="CE47">
            <v>1</v>
          </cell>
          <cell r="CF47">
            <v>95152611</v>
          </cell>
          <cell r="CH47" t="str">
            <v>ສັນຕິບານ</v>
          </cell>
        </row>
        <row r="48">
          <cell r="G48" t="str">
            <v>ນ. ພອນພິລົມ ວົງພູທອນ</v>
          </cell>
          <cell r="H48" t="str">
            <v>ຮອ</v>
          </cell>
          <cell r="I48" t="str">
            <v>ແອ້</v>
          </cell>
          <cell r="J48" t="str">
            <v>ຍິງ</v>
          </cell>
          <cell r="K48">
            <v>33760</v>
          </cell>
          <cell r="L48" t="str">
            <v>32 ປີ</v>
          </cell>
          <cell r="M48">
            <v>45618</v>
          </cell>
          <cell r="O48" t="str">
            <v>ໂພນສະຫວ່າງ</v>
          </cell>
          <cell r="P48" t="str">
            <v>ສີສັດຕະນາກ</v>
          </cell>
          <cell r="Q48" t="str">
            <v>ນະຄອນຫຼວງ</v>
          </cell>
          <cell r="R48" t="str">
            <v>ໂພນສະຫວ່າງ</v>
          </cell>
          <cell r="S48" t="str">
            <v>ສິສັດຕະນາກ</v>
          </cell>
          <cell r="T48" t="str">
            <v>ນະຄອນຫຼວງ</v>
          </cell>
          <cell r="U48">
            <v>138</v>
          </cell>
          <cell r="V48" t="str">
            <v>ບ້ານຫ້ອມ</v>
          </cell>
          <cell r="X48" t="str">
            <v>ບໍ່ມີ</v>
          </cell>
          <cell r="Y48" t="str">
            <v>ລລ</v>
          </cell>
          <cell r="Z48" t="str">
            <v>ພຸດ</v>
          </cell>
          <cell r="AA48" t="str">
            <v>37634/ກພງ</v>
          </cell>
          <cell r="AB48">
            <v>43083</v>
          </cell>
          <cell r="AC48">
            <v>43083</v>
          </cell>
          <cell r="AE48">
            <v>44776</v>
          </cell>
          <cell r="AG48">
            <v>45174</v>
          </cell>
          <cell r="AI48">
            <v>37685</v>
          </cell>
          <cell r="AJ48">
            <v>41054</v>
          </cell>
          <cell r="AL48" t="str">
            <v>ສະມາຊິກ</v>
          </cell>
          <cell r="AM48" t="str">
            <v>ວິຊາການ</v>
          </cell>
          <cell r="AN48" t="str">
            <v>ມ 6</v>
          </cell>
          <cell r="AP48" t="str">
            <v>ປຕ</v>
          </cell>
          <cell r="AR48" t="str">
            <v>ບໍລິຫານທຸລະກິດ</v>
          </cell>
          <cell r="AT48" t="str">
            <v>ວິທະຍາໄລ ບຸດວິເສດ</v>
          </cell>
          <cell r="AU48" t="str">
            <v>4 ປີ</v>
          </cell>
          <cell r="AV48" t="str">
            <v>2013 - 2016</v>
          </cell>
          <cell r="BJ48" t="str">
            <v>ພູທອນ</v>
          </cell>
          <cell r="BK48" t="str">
            <v>ຕ</v>
          </cell>
          <cell r="BQ48" t="str">
            <v>ແພງຄໍາ ວົງພູທອນ</v>
          </cell>
          <cell r="BR48">
            <v>51</v>
          </cell>
          <cell r="BS48" t="str">
            <v>ໂພນສະຫວ່າງ</v>
          </cell>
          <cell r="BT48" t="str">
            <v>ສິສັດຕະນາກ</v>
          </cell>
          <cell r="BU48" t="str">
            <v>ນະຄອນຫຼວງ</v>
          </cell>
          <cell r="BV48" t="str">
            <v>ປະຊາຊົນ</v>
          </cell>
          <cell r="BW48" t="str">
            <v>ໂພນສະຫວ່າງ</v>
          </cell>
          <cell r="BX48" t="str">
            <v>ທ. ພອນໄຊ ລາວລີ</v>
          </cell>
          <cell r="BY48">
            <v>32856</v>
          </cell>
          <cell r="BZ48" t="str">
            <v>ໂພນສະຫວ່າງ</v>
          </cell>
          <cell r="CA48" t="str">
            <v>ສິສັດຕະນາກ</v>
          </cell>
          <cell r="CB48" t="str">
            <v>ນະຄອນຫຼວງ</v>
          </cell>
          <cell r="CC48" t="str">
            <v>ຕໍາຫຼວດ</v>
          </cell>
          <cell r="CD48" t="str">
            <v>ກົມໃຫຍ່ພະລາ</v>
          </cell>
          <cell r="CE48">
            <v>2</v>
          </cell>
          <cell r="CF48">
            <v>77744258</v>
          </cell>
          <cell r="CH48" t="str">
            <v>ຕໍາຫຼວດ</v>
          </cell>
        </row>
        <row r="49">
          <cell r="G49" t="str">
            <v>ນ. ພອນປະສິດ ສີກັນຫາ</v>
          </cell>
          <cell r="H49" t="str">
            <v>ຮອ</v>
          </cell>
          <cell r="I49" t="str">
            <v>ຈຸ້ນ</v>
          </cell>
          <cell r="J49" t="str">
            <v>ຍິງ</v>
          </cell>
          <cell r="K49">
            <v>31715</v>
          </cell>
          <cell r="L49" t="str">
            <v>38 ປີ</v>
          </cell>
          <cell r="M49">
            <v>44481</v>
          </cell>
          <cell r="O49" t="str">
            <v>ໂພນໂຮງ</v>
          </cell>
          <cell r="P49" t="str">
            <v>ໂພນໂຮງ</v>
          </cell>
          <cell r="Q49" t="str">
            <v>ວຽງຈັນ</v>
          </cell>
          <cell r="R49" t="str">
            <v>ໜອງໜ່ຽງ</v>
          </cell>
          <cell r="S49" t="str">
            <v>ໄຊເສດຖາ</v>
          </cell>
          <cell r="T49" t="str">
            <v>ນະຄອນຫຼວງ</v>
          </cell>
          <cell r="U49" t="str">
            <v>228</v>
          </cell>
          <cell r="X49" t="str">
            <v>ບໍ່ມີ</v>
          </cell>
          <cell r="Y49" t="str">
            <v>ລລ</v>
          </cell>
          <cell r="Z49" t="str">
            <v>ພຸດ</v>
          </cell>
          <cell r="AA49" t="str">
            <v>ບໍ່ມີ</v>
          </cell>
          <cell r="AB49">
            <v>38961</v>
          </cell>
          <cell r="AC49">
            <v>38961</v>
          </cell>
          <cell r="AE49">
            <v>43808</v>
          </cell>
          <cell r="AG49">
            <v>44243</v>
          </cell>
          <cell r="AI49">
            <v>38488</v>
          </cell>
          <cell r="AJ49">
            <v>38774</v>
          </cell>
          <cell r="AL49" t="str">
            <v>ສະມາຊິກ</v>
          </cell>
          <cell r="AM49" t="str">
            <v>ວິຊາການ</v>
          </cell>
          <cell r="AN49" t="str">
            <v>ມ 6</v>
          </cell>
          <cell r="AP49" t="str">
            <v>ປຕ</v>
          </cell>
          <cell r="AR49" t="str">
            <v>ເສດຖະສາດບໍລິຫານທຸລະກິດ</v>
          </cell>
          <cell r="AS49" t="str">
            <v>ກໍ່ສ້າງ</v>
          </cell>
          <cell r="AT49" t="str">
            <v>ມະຫາວິທະຍາໄລແຫ່ງຊາດ</v>
          </cell>
          <cell r="AU49" t="str">
            <v>5 ປີ</v>
          </cell>
          <cell r="AV49" t="str">
            <v>2010 - 2014</v>
          </cell>
          <cell r="BJ49" t="str">
            <v>ທອງສີ</v>
          </cell>
          <cell r="BK49">
            <v>86</v>
          </cell>
          <cell r="BL49" t="str">
            <v>ນໍ້າແຈ້ງ</v>
          </cell>
          <cell r="BM49" t="str">
            <v>ໂພນໂຮງ</v>
          </cell>
          <cell r="BN49" t="str">
            <v>ວຽງຈັນ</v>
          </cell>
          <cell r="BO49" t="str">
            <v>ພະນັກງານລັດ</v>
          </cell>
          <cell r="BP49" t="str">
            <v>ຂົວທາງແຂວງ</v>
          </cell>
          <cell r="BQ49" t="str">
            <v>ແກ້ວອຸດອນ</v>
          </cell>
          <cell r="BR49">
            <v>60</v>
          </cell>
          <cell r="BS49" t="str">
            <v>ນໍ້າແຈ້ງ</v>
          </cell>
          <cell r="BT49" t="str">
            <v>ໂພນໂຮງ</v>
          </cell>
          <cell r="BU49" t="str">
            <v>ວຽງຈັນ</v>
          </cell>
          <cell r="BV49" t="str">
            <v>ປະຊາຊົນ</v>
          </cell>
          <cell r="BX49" t="str">
            <v>ຈັນສະໝອນ ວົງພັກດີ</v>
          </cell>
          <cell r="BY49">
            <v>31419</v>
          </cell>
          <cell r="BZ49" t="str">
            <v>ໜອງໜ່ຽງ</v>
          </cell>
          <cell r="CA49" t="str">
            <v>ໄຊເສດຖາ</v>
          </cell>
          <cell r="CB49" t="str">
            <v>ນະຄອນຫຼວງ</v>
          </cell>
          <cell r="CC49" t="str">
            <v>ປະຊາຊົນ</v>
          </cell>
          <cell r="CE49">
            <v>2</v>
          </cell>
          <cell r="CF49">
            <v>59400511</v>
          </cell>
          <cell r="CH49" t="str">
            <v>ປົກຄອງ</v>
          </cell>
        </row>
        <row r="50">
          <cell r="G50" t="str">
            <v>ນ. ປູລິນ່າ ເຮືອງແພງອ່ອນ</v>
          </cell>
          <cell r="H50" t="str">
            <v>ຮອ</v>
          </cell>
          <cell r="I50" t="str">
            <v>ປຸ</v>
          </cell>
          <cell r="J50" t="str">
            <v>ຍິງ</v>
          </cell>
          <cell r="K50">
            <v>32542</v>
          </cell>
          <cell r="L50" t="str">
            <v>36 ປີ</v>
          </cell>
          <cell r="M50">
            <v>44264</v>
          </cell>
          <cell r="O50" t="str">
            <v>ຫົວຂົວ</v>
          </cell>
          <cell r="P50" t="str">
            <v>ຫຼວງນໍ້າທາ</v>
          </cell>
          <cell r="Q50" t="str">
            <v>ຫຼວງນໍ້າທາ</v>
          </cell>
          <cell r="R50" t="str">
            <v>ຊຽງດາ</v>
          </cell>
          <cell r="S50" t="str">
            <v>ໄຊເສດຖາ</v>
          </cell>
          <cell r="T50" t="str">
            <v>ນະຄອນຫຼວງ</v>
          </cell>
          <cell r="U50" t="str">
            <v>789</v>
          </cell>
          <cell r="X50" t="str">
            <v>01-24045476</v>
          </cell>
          <cell r="Y50" t="str">
            <v>ໄຕ໋ດໍາ</v>
          </cell>
          <cell r="Z50" t="str">
            <v>ຜີ</v>
          </cell>
          <cell r="AA50" t="str">
            <v>25546/ກພງ</v>
          </cell>
          <cell r="AB50">
            <v>41492</v>
          </cell>
          <cell r="AC50">
            <v>41492</v>
          </cell>
          <cell r="AE50">
            <v>43396</v>
          </cell>
          <cell r="AG50">
            <v>43854</v>
          </cell>
          <cell r="AI50">
            <v>38307</v>
          </cell>
          <cell r="AJ50">
            <v>38275</v>
          </cell>
          <cell r="AL50" t="str">
            <v>ສະມາຊິກ</v>
          </cell>
          <cell r="AM50" t="str">
            <v>ວິຊາການ</v>
          </cell>
          <cell r="AN50" t="str">
            <v>ມ 6</v>
          </cell>
          <cell r="AP50" t="str">
            <v>ປຕ</v>
          </cell>
          <cell r="AR50" t="str">
            <v>ກົດໝາຍແພ່ງ</v>
          </cell>
          <cell r="AS50" t="str">
            <v>ກໍ່ສ້າງ</v>
          </cell>
          <cell r="AT50" t="str">
            <v>ວິທະຍາໄລກົດໝາຍພາກກາງ</v>
          </cell>
          <cell r="AU50" t="str">
            <v>5 ປີ</v>
          </cell>
          <cell r="AV50" t="str">
            <v>2006 - 2011</v>
          </cell>
          <cell r="BJ50" t="str">
            <v>ຫຼ້າ</v>
          </cell>
          <cell r="BK50">
            <v>56</v>
          </cell>
          <cell r="BL50" t="str">
            <v>ທົ່ງໃຈເໜືອ</v>
          </cell>
          <cell r="BM50" t="str">
            <v>ຫຼວງນໍ້າທາ</v>
          </cell>
          <cell r="BN50" t="str">
            <v>ຫຼວງນໍ້າທາ</v>
          </cell>
          <cell r="BO50" t="str">
            <v>ຄ້າຂາຍ</v>
          </cell>
          <cell r="BQ50" t="str">
            <v>ຕ</v>
          </cell>
          <cell r="BX50" t="str">
            <v>ຍຸລະນັນ ຈັນທະຄີລີ</v>
          </cell>
          <cell r="BY50">
            <v>32213</v>
          </cell>
          <cell r="BZ50" t="str">
            <v>ຊຽງດາ</v>
          </cell>
          <cell r="CA50" t="str">
            <v>ໄຊເສດຖາ</v>
          </cell>
          <cell r="CB50" t="str">
            <v>ນະຄອນຫຼວງ</v>
          </cell>
          <cell r="CC50" t="str">
            <v>ພະນັກງານ</v>
          </cell>
          <cell r="CD50" t="str">
            <v>ກົມໃຫຍ່ສັນຕິບານ</v>
          </cell>
          <cell r="CE50">
            <v>3</v>
          </cell>
          <cell r="CF50">
            <v>22995393</v>
          </cell>
          <cell r="CH50" t="str">
            <v>ປົກຄອງ</v>
          </cell>
        </row>
        <row r="51">
          <cell r="G51" t="str">
            <v>ນ. ປູນາ ແສນບຸດຕະລາດ</v>
          </cell>
          <cell r="H51" t="str">
            <v>ຮອ</v>
          </cell>
          <cell r="I51" t="str">
            <v>ປູ</v>
          </cell>
          <cell r="J51" t="str">
            <v>ຍິງ</v>
          </cell>
          <cell r="K51">
            <v>34483</v>
          </cell>
          <cell r="L51" t="str">
            <v>30 ປີ</v>
          </cell>
          <cell r="M51">
            <v>45618</v>
          </cell>
          <cell r="O51" t="str">
            <v>ອາກາດ</v>
          </cell>
          <cell r="P51" t="str">
            <v>ສີໂຄດຕະບອງ</v>
          </cell>
          <cell r="Q51" t="str">
            <v>ນະຄອນຫຼວງ</v>
          </cell>
          <cell r="R51" t="str">
            <v>ຈັນສະຫວ່າງ</v>
          </cell>
          <cell r="S51" t="str">
            <v>ສີໂຄດຕະບອງ</v>
          </cell>
          <cell r="T51" t="str">
            <v>ນະຄອນຫຼວງ</v>
          </cell>
          <cell r="U51" t="str">
            <v>23</v>
          </cell>
          <cell r="X51" t="str">
            <v>ບໍ່ມີ</v>
          </cell>
          <cell r="Y51" t="str">
            <v>ລລ</v>
          </cell>
          <cell r="Z51" t="str">
            <v>ພຸດ</v>
          </cell>
          <cell r="AA51" t="str">
            <v>25559/ກພງ</v>
          </cell>
          <cell r="AB51">
            <v>42320</v>
          </cell>
          <cell r="AC51">
            <v>42320</v>
          </cell>
          <cell r="AE51">
            <v>44141</v>
          </cell>
          <cell r="AG51">
            <v>44557</v>
          </cell>
          <cell r="AI51">
            <v>40098</v>
          </cell>
          <cell r="AJ51">
            <v>40255</v>
          </cell>
          <cell r="AL51" t="str">
            <v>ສະມາຊິກ</v>
          </cell>
          <cell r="AM51" t="str">
            <v>ວິຊາການ</v>
          </cell>
          <cell r="AN51" t="str">
            <v>ມ 7</v>
          </cell>
          <cell r="AP51" t="str">
            <v>ປຕ</v>
          </cell>
          <cell r="AR51" t="str">
            <v>ການເງິນວິສາຫະກິດ</v>
          </cell>
          <cell r="AS51" t="str">
            <v>ກໍ່ສ້າງ</v>
          </cell>
          <cell r="AT51" t="str">
            <v>ສະຖາບັນເສດຖະກິນການເງິນ</v>
          </cell>
          <cell r="AU51" t="str">
            <v>3 ປີ</v>
          </cell>
          <cell r="AV51" t="str">
            <v>2020 - 2022</v>
          </cell>
          <cell r="BJ51" t="str">
            <v>ບົວລາ ແສນບຸດຕະລາດ</v>
          </cell>
          <cell r="BK51">
            <v>60</v>
          </cell>
          <cell r="BL51" t="str">
            <v>ຈັນສະຫວ່າງ</v>
          </cell>
          <cell r="BM51" t="str">
            <v>ສີໂຄດຕະບອງ</v>
          </cell>
          <cell r="BN51" t="str">
            <v>ນະຄອນຫຼວງ</v>
          </cell>
          <cell r="BO51" t="str">
            <v>ພະນັກງານ</v>
          </cell>
          <cell r="BQ51" t="str">
            <v>ຈອນທະຈິດ ແສນບຸດຕະລາດ</v>
          </cell>
          <cell r="BR51">
            <v>56</v>
          </cell>
          <cell r="BS51" t="str">
            <v>ຈັນສະຫວ່າງ</v>
          </cell>
          <cell r="BT51" t="str">
            <v>ສີໂຄດຕະບອງ</v>
          </cell>
          <cell r="BU51" t="str">
            <v>ນະຄອນຫຼວງ</v>
          </cell>
          <cell r="BV51" t="str">
            <v>ພະນັກງານ ບໍານານ</v>
          </cell>
          <cell r="BW51" t="str">
            <v>ກອງບັນຊາການທະຫານອາກາດ</v>
          </cell>
          <cell r="BX51" t="str">
            <v>ທະວີສັກ ສຸວັນນະຣາຊ</v>
          </cell>
          <cell r="BY51">
            <v>33647</v>
          </cell>
          <cell r="BZ51" t="str">
            <v>ອູບມຸງ</v>
          </cell>
          <cell r="CA51" t="str">
            <v>ສີໂຄດຕະບອງ</v>
          </cell>
          <cell r="CB51" t="str">
            <v>ນະຄອນຫຼວງ</v>
          </cell>
          <cell r="CC51" t="str">
            <v>ພະນັກງານ</v>
          </cell>
          <cell r="CD51" t="str">
            <v>ບໍລິສັດສຸກສາຄອນ</v>
          </cell>
          <cell r="CE51">
            <v>1</v>
          </cell>
          <cell r="CF51">
            <v>98987771</v>
          </cell>
          <cell r="CH51" t="str">
            <v>ປົກຄອງ</v>
          </cell>
        </row>
        <row r="52">
          <cell r="G52" t="str">
            <v>ນ. ສຸກສາລີ ຫຼ້າບຸນທັນ</v>
          </cell>
          <cell r="H52" t="str">
            <v>ຮອ</v>
          </cell>
          <cell r="I52" t="str">
            <v>ສຸກ</v>
          </cell>
          <cell r="J52" t="str">
            <v>ຍິງ</v>
          </cell>
          <cell r="K52">
            <v>33872</v>
          </cell>
          <cell r="L52" t="str">
            <v>32 ປີ</v>
          </cell>
          <cell r="M52">
            <v>45618</v>
          </cell>
          <cell r="O52" t="str">
            <v>ຢາຍ</v>
          </cell>
          <cell r="P52" t="str">
            <v>ພູກູດ</v>
          </cell>
          <cell r="Q52" t="str">
            <v>ຊຽງຊວາງ</v>
          </cell>
          <cell r="R52" t="str">
            <v>ໂຄກສະຫ່ວາງ</v>
          </cell>
          <cell r="S52" t="str">
            <v>ໄຊທານີ</v>
          </cell>
          <cell r="T52" t="str">
            <v>ນະຄອນຫຼວງ</v>
          </cell>
          <cell r="X52" t="str">
            <v>ບໍ່ມີ</v>
          </cell>
          <cell r="Y52" t="str">
            <v>ລລ</v>
          </cell>
          <cell r="Z52" t="str">
            <v>ພຸດ</v>
          </cell>
          <cell r="AA52" t="str">
            <v>ບໍ່ມີ</v>
          </cell>
          <cell r="AB52">
            <v>41103</v>
          </cell>
          <cell r="AC52">
            <v>41103</v>
          </cell>
          <cell r="AE52">
            <v>44273</v>
          </cell>
          <cell r="AG52">
            <v>44712</v>
          </cell>
          <cell r="AI52">
            <v>39075</v>
          </cell>
          <cell r="AJ52">
            <v>39082</v>
          </cell>
          <cell r="AL52" t="str">
            <v>ສະມາຊິກ</v>
          </cell>
          <cell r="AM52" t="str">
            <v>ວິຊາການ</v>
          </cell>
          <cell r="AN52" t="str">
            <v>ມ 6</v>
          </cell>
          <cell r="AO52" t="str">
            <v>ຫວຽດນາມ</v>
          </cell>
          <cell r="AP52" t="str">
            <v>ປຕ</v>
          </cell>
          <cell r="AQ52" t="str">
            <v>ຕ່າງປະເທດ</v>
          </cell>
          <cell r="AR52" t="str">
            <v>ສະກັດກັ້ນປາບປາມຢາເສບຕິດ</v>
          </cell>
          <cell r="AS52" t="str">
            <v>ກໍ່ສ້າງ</v>
          </cell>
          <cell r="AT52" t="str">
            <v>ວິທະຍາຄານ ຕໍາຫຼວດ ປະຊາຊົນ</v>
          </cell>
          <cell r="AU52" t="str">
            <v>6 ປີ</v>
          </cell>
          <cell r="AV52" t="str">
            <v>2015 - 2021</v>
          </cell>
          <cell r="BD52" t="str">
            <v>ຊກ</v>
          </cell>
          <cell r="BE52" t="str">
            <v>ທິດສະດີມາກ-ເລນິນ</v>
          </cell>
          <cell r="BF52" t="str">
            <v>45 ວັນ</v>
          </cell>
          <cell r="BG52" t="str">
            <v>ວິທະຍາຄານ ຕໍາຫຼວດ ປະຊາຊົນ</v>
          </cell>
          <cell r="BH52" t="str">
            <v>45 ວັນ</v>
          </cell>
          <cell r="BI52">
            <v>2020</v>
          </cell>
          <cell r="BJ52" t="str">
            <v>ຄໍາໃຜ ຫຼ້າບຸນທັນ</v>
          </cell>
          <cell r="BK52">
            <v>59</v>
          </cell>
          <cell r="BL52" t="str">
            <v>ຢາຍ</v>
          </cell>
          <cell r="BM52" t="str">
            <v>ພູກູດ</v>
          </cell>
          <cell r="BN52" t="str">
            <v>ຊຽງຂວາງ</v>
          </cell>
          <cell r="BQ52" t="str">
            <v>ດວງຕາ</v>
          </cell>
          <cell r="BR52">
            <v>60</v>
          </cell>
          <cell r="BS52" t="str">
            <v>ຢາຍ</v>
          </cell>
          <cell r="BT52" t="str">
            <v>ພູກູດ</v>
          </cell>
          <cell r="BU52" t="str">
            <v>ຊຽງຂວາງ</v>
          </cell>
          <cell r="BV52" t="str">
            <v>ພະນັກງານ ບໍານານ</v>
          </cell>
          <cell r="BX52" t="str">
            <v>ລຸນທອງ ສີວົງຄໍາ</v>
          </cell>
          <cell r="BY52">
            <v>33211</v>
          </cell>
          <cell r="BZ52" t="str">
            <v>ໂຄກສະຫວ່າງ</v>
          </cell>
          <cell r="CA52" t="str">
            <v>ໄຊທານີ</v>
          </cell>
          <cell r="CB52" t="str">
            <v>ນະຄອນຫຼວງ</v>
          </cell>
          <cell r="CC52" t="str">
            <v>ຕໍາຫຼວດ</v>
          </cell>
          <cell r="CD52" t="str">
            <v>ກົມສິ່ງແວດລ້ອມ</v>
          </cell>
          <cell r="CE52">
            <v>1</v>
          </cell>
          <cell r="CF52">
            <v>56692551</v>
          </cell>
          <cell r="CH52" t="str">
            <v>ປົກຄອງ</v>
          </cell>
        </row>
        <row r="53">
          <cell r="G53" t="str">
            <v>ນ. ຈໍາປາ ວັນດີວົງ</v>
          </cell>
          <cell r="H53" t="str">
            <v>ຮອ</v>
          </cell>
          <cell r="I53" t="str">
            <v>ປາ</v>
          </cell>
          <cell r="J53" t="str">
            <v>ຍິງ</v>
          </cell>
          <cell r="K53">
            <v>31508</v>
          </cell>
          <cell r="L53" t="str">
            <v>39 ປີ</v>
          </cell>
          <cell r="M53">
            <v>44264</v>
          </cell>
          <cell r="O53" t="str">
            <v>ນາເລືອງ</v>
          </cell>
          <cell r="P53" t="str">
            <v>ຫີນເຫີບ</v>
          </cell>
          <cell r="Q53" t="str">
            <v>ວຽງຈັນ</v>
          </cell>
          <cell r="R53" t="str">
            <v>ໂນນຂີ້ເຫຼັກ</v>
          </cell>
          <cell r="S53" t="str">
            <v>ສີໂຄດຕະບອງ</v>
          </cell>
          <cell r="T53" t="str">
            <v>ນະຄອນຫຼວງ</v>
          </cell>
          <cell r="U53" t="str">
            <v>191</v>
          </cell>
          <cell r="X53" t="str">
            <v>ບໍ່ມີ</v>
          </cell>
          <cell r="Y53" t="str">
            <v>ລລ</v>
          </cell>
          <cell r="Z53" t="str">
            <v>ພຸດ</v>
          </cell>
          <cell r="AA53" t="str">
            <v>25544/ກພງ</v>
          </cell>
          <cell r="AB53">
            <v>38961</v>
          </cell>
          <cell r="AC53">
            <v>38961</v>
          </cell>
          <cell r="AE53">
            <v>43061</v>
          </cell>
          <cell r="AG53">
            <v>43445</v>
          </cell>
          <cell r="AI53">
            <v>37299</v>
          </cell>
          <cell r="AJ53">
            <v>38698</v>
          </cell>
          <cell r="AL53" t="str">
            <v>ສະມາຊິກ</v>
          </cell>
          <cell r="AM53" t="str">
            <v>ວິຊາການ</v>
          </cell>
          <cell r="AN53" t="str">
            <v>ມ 6</v>
          </cell>
          <cell r="AP53" t="str">
            <v>ປຕ</v>
          </cell>
          <cell r="AR53" t="str">
            <v>ກົດໝາຍອາຍາ</v>
          </cell>
          <cell r="AS53" t="str">
            <v>ກໍ່ສ້າງ</v>
          </cell>
          <cell r="AU53" t="str">
            <v>5 ປີ</v>
          </cell>
          <cell r="AV53" t="str">
            <v>2010 - 2015</v>
          </cell>
          <cell r="BJ53" t="str">
            <v>ສາຍທອງ</v>
          </cell>
          <cell r="BK53">
            <v>84</v>
          </cell>
          <cell r="BL53" t="str">
            <v>ນາເລືອງ</v>
          </cell>
          <cell r="BM53" t="str">
            <v>ຫີນເຫີບ</v>
          </cell>
          <cell r="BN53" t="str">
            <v>ວຽງຈັນ</v>
          </cell>
          <cell r="BQ53" t="str">
            <v>ບຸນເພັງ</v>
          </cell>
          <cell r="BR53">
            <v>73</v>
          </cell>
          <cell r="BS53" t="str">
            <v>ນາເລືອງ</v>
          </cell>
          <cell r="BT53" t="str">
            <v>ຫີນເຫີບ</v>
          </cell>
          <cell r="BU53" t="str">
            <v>ວຽງຈັນ</v>
          </cell>
          <cell r="BV53" t="str">
            <v>ປະຊາຊົນ</v>
          </cell>
          <cell r="BX53" t="str">
            <v>ພຸດທະສອນ</v>
          </cell>
          <cell r="BY53">
            <v>31118</v>
          </cell>
          <cell r="BZ53" t="str">
            <v>ໂນນຂີ້ເຫຼັກ</v>
          </cell>
          <cell r="CA53" t="str">
            <v>ສີໂຄດຕະບອງ</v>
          </cell>
          <cell r="CB53" t="str">
            <v>ນະຄອນຫຼວງ</v>
          </cell>
          <cell r="CC53" t="str">
            <v>ພະນັກງານເອກະຊົນ</v>
          </cell>
          <cell r="CE53">
            <v>2</v>
          </cell>
          <cell r="CF53">
            <v>56769991</v>
          </cell>
          <cell r="CH53" t="str">
            <v>ປົກຄອງ</v>
          </cell>
        </row>
        <row r="54">
          <cell r="G54" t="str">
            <v>ນ. ຈັນສີ  ໄຊຍະສີ</v>
          </cell>
          <cell r="H54" t="str">
            <v>ຮອ</v>
          </cell>
          <cell r="J54" t="str">
            <v>ຍິງ</v>
          </cell>
          <cell r="K54">
            <v>30479</v>
          </cell>
          <cell r="L54" t="str">
            <v>41 ປີ</v>
          </cell>
          <cell r="M54">
            <v>44159</v>
          </cell>
          <cell r="O54" t="str">
            <v>ໂນນສະຫງ່າ</v>
          </cell>
          <cell r="P54" t="str">
            <v>ໄຊເສດຖາ</v>
          </cell>
          <cell r="Q54" t="str">
            <v>ນະຄອນຫຼວງ</v>
          </cell>
          <cell r="R54" t="str">
            <v>ໂນນສະຫງ່າ</v>
          </cell>
          <cell r="S54" t="str">
            <v>ໄຊເສດຖາ</v>
          </cell>
          <cell r="T54" t="str">
            <v>ນະຄອນຫຼວງ</v>
          </cell>
          <cell r="U54" t="str">
            <v>353</v>
          </cell>
          <cell r="V54" t="str">
            <v>ດົງຈອງ</v>
          </cell>
          <cell r="X54" t="str">
            <v>01-18029143</v>
          </cell>
          <cell r="Y54" t="str">
            <v>ລລ</v>
          </cell>
          <cell r="Z54" t="str">
            <v>ພຸດ</v>
          </cell>
          <cell r="AA54" t="str">
            <v>01670/ຈຕກພງ</v>
          </cell>
          <cell r="AB54">
            <v>37185</v>
          </cell>
          <cell r="AC54">
            <v>37185</v>
          </cell>
          <cell r="AE54">
            <v>42776</v>
          </cell>
          <cell r="AG54">
            <v>43257</v>
          </cell>
          <cell r="AJ54">
            <v>36307</v>
          </cell>
          <cell r="AL54" t="str">
            <v>ສະມາຊິກ</v>
          </cell>
          <cell r="AM54" t="str">
            <v>ວິຊາການ</v>
          </cell>
          <cell r="AN54" t="str">
            <v>ມ 6</v>
          </cell>
          <cell r="AP54" t="str">
            <v>ປຕ</v>
          </cell>
          <cell r="AR54" t="str">
            <v>ຄອມພິວເຕີ້</v>
          </cell>
          <cell r="AS54" t="str">
            <v>ກໍ່ສ້າງ</v>
          </cell>
          <cell r="AT54" t="str">
            <v>ມະຫາວິທະຍາໄລແຫ່ງຊາດ</v>
          </cell>
          <cell r="AU54" t="str">
            <v>5 ປີ</v>
          </cell>
          <cell r="AV54" t="str">
            <v>2010 - 2015</v>
          </cell>
          <cell r="BJ54" t="str">
            <v>ບົວເງິນ ໄຊຍະສີ</v>
          </cell>
          <cell r="BK54" t="str">
            <v>ຕ</v>
          </cell>
          <cell r="BQ54" t="str">
            <v>ມຸນທາ ໄຊຍິສີ</v>
          </cell>
          <cell r="BR54">
            <v>80</v>
          </cell>
          <cell r="BS54" t="str">
            <v>ໂນນສະຫງ່າ</v>
          </cell>
          <cell r="BT54" t="str">
            <v>ໄຊເສດຖາ</v>
          </cell>
          <cell r="BU54" t="str">
            <v>ນະຄອນຫຼວງ</v>
          </cell>
          <cell r="BV54" t="str">
            <v>ບໍານານ</v>
          </cell>
          <cell r="BX54" t="str">
            <v>ຄໍາຈັນ ລໍວັນໄຊ</v>
          </cell>
          <cell r="BZ54" t="str">
            <v>ໂນນສະຫງ່າ</v>
          </cell>
          <cell r="CA54" t="str">
            <v>ໄຊເສດຖາ</v>
          </cell>
          <cell r="CB54" t="str">
            <v>ນະຄອນຫຼວງ</v>
          </cell>
          <cell r="CC54" t="str">
            <v>ຕໍາຫຼວດ</v>
          </cell>
          <cell r="CD54" t="str">
            <v>ກົມໃຫຍ່ຕໍາຫຼວດ</v>
          </cell>
          <cell r="CE54">
            <v>3</v>
          </cell>
          <cell r="CF54">
            <v>91462650</v>
          </cell>
          <cell r="CH54" t="str">
            <v>ປົກຄອງ</v>
          </cell>
        </row>
        <row r="55">
          <cell r="G55" t="str">
            <v>ນ. ຈັນສະໝອນ ໄຊຍະພອນ</v>
          </cell>
          <cell r="H55" t="str">
            <v>ຮອ</v>
          </cell>
          <cell r="I55" t="str">
            <v>ນ້ອຍ</v>
          </cell>
          <cell r="J55" t="str">
            <v>ຍິງ</v>
          </cell>
          <cell r="K55">
            <v>34631</v>
          </cell>
          <cell r="L55" t="str">
            <v>30 ປີ</v>
          </cell>
          <cell r="M55">
            <v>45373</v>
          </cell>
          <cell r="O55" t="str">
            <v>ສີວິໄລ</v>
          </cell>
          <cell r="P55" t="str">
            <v>ໄຊທານີ</v>
          </cell>
          <cell r="Q55" t="str">
            <v>ນະຄອນຫຼວງ</v>
          </cell>
          <cell r="R55" t="str">
            <v>ໂຊກຄຳ</v>
          </cell>
          <cell r="S55" t="str">
            <v>ໄຊເສດຖາ</v>
          </cell>
          <cell r="T55" t="str">
            <v>ນະຄອນຫຼວງ</v>
          </cell>
          <cell r="U55" t="str">
            <v>196</v>
          </cell>
          <cell r="X55" t="str">
            <v>ບໍ່ມີ</v>
          </cell>
          <cell r="Y55" t="str">
            <v>ລລ</v>
          </cell>
          <cell r="Z55" t="str">
            <v>ພຸດ</v>
          </cell>
          <cell r="AA55" t="str">
            <v>ບໍ່ມີ</v>
          </cell>
          <cell r="AB55">
            <v>41835</v>
          </cell>
          <cell r="AC55">
            <v>41835</v>
          </cell>
          <cell r="AE55">
            <v>43794</v>
          </cell>
          <cell r="AG55">
            <v>44253</v>
          </cell>
          <cell r="AI55">
            <v>39807</v>
          </cell>
          <cell r="AJ55">
            <v>40322</v>
          </cell>
          <cell r="AL55" t="str">
            <v>ສະມາຊິກ</v>
          </cell>
          <cell r="AM55" t="str">
            <v>ວິຊາການ</v>
          </cell>
          <cell r="AN55" t="str">
            <v>ມ 7</v>
          </cell>
          <cell r="AP55" t="str">
            <v>ປຕ</v>
          </cell>
          <cell r="AQ55" t="str">
            <v>ພາຍໃນ</v>
          </cell>
          <cell r="AR55" t="str">
            <v>ສືບຂ່າວອາຍາ</v>
          </cell>
          <cell r="AS55" t="str">
            <v>ກໍ່ສ້າງ</v>
          </cell>
          <cell r="AT55" t="str">
            <v>ວິທະຍາຄານ ຕໍາຫຼວດ ປະຊາຊົນ</v>
          </cell>
          <cell r="AU55" t="str">
            <v>4 ປີ</v>
          </cell>
          <cell r="AV55" t="str">
            <v>2017 - 2020</v>
          </cell>
          <cell r="BJ55" t="str">
            <v>ບຸນຈັນ ໄຊຍະພອນ</v>
          </cell>
          <cell r="BK55">
            <v>67</v>
          </cell>
          <cell r="BL55" t="str">
            <v>ໂຊກຄໍາ</v>
          </cell>
          <cell r="BM55" t="str">
            <v>ໄຊເສດຖາ</v>
          </cell>
          <cell r="BN55" t="str">
            <v>ນະຄອນຫຼວງ</v>
          </cell>
          <cell r="BO55" t="str">
            <v>ພະນັກງານ ບໍານານ</v>
          </cell>
          <cell r="BQ55" t="str">
            <v>ຄໍພອນ ໄຊຍະພອນ</v>
          </cell>
          <cell r="BR55">
            <v>60</v>
          </cell>
          <cell r="BS55" t="str">
            <v>ໂຊກຄໍາ</v>
          </cell>
          <cell r="BT55" t="str">
            <v>ໄຊເສດຖາ</v>
          </cell>
          <cell r="BU55" t="str">
            <v>ນະຄອນຫຼວງ</v>
          </cell>
          <cell r="BV55" t="str">
            <v>ປະຊາຊົນ</v>
          </cell>
          <cell r="BX55" t="str">
            <v>ມິ່ງແກ້ວ ສີຫານາດ</v>
          </cell>
          <cell r="BY55">
            <v>36349</v>
          </cell>
          <cell r="BZ55" t="str">
            <v>ໂຊກຄໍາ</v>
          </cell>
          <cell r="CA55" t="str">
            <v>ໄຊເສດຖາ</v>
          </cell>
          <cell r="CB55" t="str">
            <v>ນະຄອນຫຼວງ</v>
          </cell>
          <cell r="CC55" t="str">
            <v>ຕໍາຫຼວດ</v>
          </cell>
          <cell r="CD55" t="str">
            <v>ນັກສຶກສາຢູ່ ວຕປ</v>
          </cell>
          <cell r="CE55">
            <v>1</v>
          </cell>
          <cell r="CF55">
            <v>77738989</v>
          </cell>
          <cell r="CH55" t="str">
            <v>ຕໍາຫຼວດ</v>
          </cell>
        </row>
        <row r="56">
          <cell r="G56" t="str">
            <v>ທ. ສົມພັນ ນະສາພອນ</v>
          </cell>
          <cell r="H56" t="str">
            <v>ຮອ</v>
          </cell>
          <cell r="I56" t="str">
            <v>ຕ້ວນ</v>
          </cell>
          <cell r="J56" t="str">
            <v>ຊາຍ</v>
          </cell>
          <cell r="K56">
            <v>33661</v>
          </cell>
          <cell r="L56" t="str">
            <v>33 ປີ</v>
          </cell>
          <cell r="M56">
            <v>44977</v>
          </cell>
          <cell r="O56" t="str">
            <v>ສີຖານໃຕ້</v>
          </cell>
          <cell r="P56" t="str">
            <v>ຫາດຊາຍຟອງ</v>
          </cell>
          <cell r="Q56" t="str">
            <v>ນະຄອນຫຼວງ</v>
          </cell>
          <cell r="R56" t="str">
            <v>ສີຖານໃຕ້</v>
          </cell>
          <cell r="S56" t="str">
            <v>ຫາດຊາຍຟອງ</v>
          </cell>
          <cell r="T56" t="str">
            <v>ນະຄອນຫຼວງ</v>
          </cell>
          <cell r="U56" t="str">
            <v>054</v>
          </cell>
          <cell r="X56" t="str">
            <v>01-24022754</v>
          </cell>
          <cell r="Y56" t="str">
            <v>ລລ</v>
          </cell>
          <cell r="Z56" t="str">
            <v>ພຸດ</v>
          </cell>
          <cell r="AA56" t="str">
            <v>25552/ກພງ</v>
          </cell>
          <cell r="AB56">
            <v>42496</v>
          </cell>
          <cell r="AC56">
            <v>42496</v>
          </cell>
          <cell r="AE56">
            <v>44040</v>
          </cell>
          <cell r="AG56">
            <v>44410</v>
          </cell>
          <cell r="AI56">
            <v>38804</v>
          </cell>
          <cell r="AL56" t="str">
            <v>ສະມາຊິກ</v>
          </cell>
          <cell r="AM56" t="str">
            <v>ວິຊາການ</v>
          </cell>
          <cell r="AN56" t="str">
            <v>ມ 6</v>
          </cell>
          <cell r="AP56" t="str">
            <v>ປຕ</v>
          </cell>
          <cell r="AR56" t="str">
            <v>ການເງິນ-ການບັນຊີ</v>
          </cell>
          <cell r="AS56" t="str">
            <v>ກໍ່ສ້າງ</v>
          </cell>
          <cell r="AT56" t="str">
            <v>ສສກ ການເງິນດົງຄໍາຊ້າງ</v>
          </cell>
          <cell r="AU56" t="str">
            <v>5 ປີ</v>
          </cell>
          <cell r="AV56" t="str">
            <v>2009 - 2014</v>
          </cell>
          <cell r="BJ56" t="str">
            <v>ສົມໝາຍ</v>
          </cell>
          <cell r="BL56" t="str">
            <v>ສີຖານໃຕ້</v>
          </cell>
          <cell r="BM56" t="str">
            <v>ຫາດຊາຍຟອງ</v>
          </cell>
          <cell r="BN56" t="str">
            <v>ນະຄອນຫຼວງ</v>
          </cell>
          <cell r="BO56" t="str">
            <v>ຄ້າຂາຍ</v>
          </cell>
          <cell r="BQ56" t="str">
            <v>ສີດາຈັນ</v>
          </cell>
          <cell r="BS56" t="str">
            <v>ສີຖານໃຕ້</v>
          </cell>
          <cell r="BT56" t="str">
            <v>ຫາດຊາຍຟອງ</v>
          </cell>
          <cell r="BU56" t="str">
            <v>ນະຄອນຫຼວງ</v>
          </cell>
          <cell r="BX56" t="str">
            <v>ຄໍາຫຼ້າ ສີວົງໂຄດ</v>
          </cell>
          <cell r="BZ56" t="str">
            <v>ນາໄຫ</v>
          </cell>
          <cell r="CA56" t="str">
            <v>ຫາດຊາຍຟອງ</v>
          </cell>
          <cell r="CB56" t="str">
            <v>ນະຄອນຫຼວງ</v>
          </cell>
          <cell r="CC56" t="str">
            <v>ຄ້າຂາຍ</v>
          </cell>
          <cell r="CE56">
            <v>2</v>
          </cell>
          <cell r="CF56">
            <v>77836929</v>
          </cell>
          <cell r="CH56" t="str">
            <v>ປົກຄອງ</v>
          </cell>
        </row>
        <row r="57">
          <cell r="G57" t="str">
            <v>ທ. ສຸລິວັນ ຈັນທະວີສຸກ</v>
          </cell>
          <cell r="H57" t="str">
            <v>ຮອ</v>
          </cell>
          <cell r="J57" t="str">
            <v>ຊາຍ</v>
          </cell>
          <cell r="K57">
            <v>33169</v>
          </cell>
          <cell r="L57" t="str">
            <v>34 ປີ</v>
          </cell>
          <cell r="M57">
            <v>45240</v>
          </cell>
          <cell r="O57" t="str">
            <v>ຂຸນຕາທ່າ</v>
          </cell>
          <cell r="P57" t="str">
            <v>ສີໂຄດຕະບອງ</v>
          </cell>
          <cell r="Q57" t="str">
            <v>ນະຄອນຫຼວງ</v>
          </cell>
          <cell r="R57" t="str">
            <v>ຂຸນຕາທ່າ</v>
          </cell>
          <cell r="S57" t="str">
            <v>ສີໂຄດຕະບອງ</v>
          </cell>
          <cell r="T57" t="str">
            <v>ນະຄອນຫຼວງ</v>
          </cell>
          <cell r="X57" t="str">
            <v>ກໍາລັງເຮັດໃໝ່</v>
          </cell>
          <cell r="Y57" t="str">
            <v>ລລ</v>
          </cell>
          <cell r="Z57" t="str">
            <v>ພຸດ</v>
          </cell>
          <cell r="AA57" t="str">
            <v>35622/ກພງ</v>
          </cell>
          <cell r="AB57">
            <v>40369</v>
          </cell>
          <cell r="AC57">
            <v>40369</v>
          </cell>
          <cell r="AE57">
            <v>44141</v>
          </cell>
          <cell r="AG57">
            <v>44572</v>
          </cell>
          <cell r="AI57">
            <v>39997</v>
          </cell>
          <cell r="AL57" t="str">
            <v>ສະມາຊິກ</v>
          </cell>
          <cell r="AM57" t="str">
            <v>ວິຊາການ</v>
          </cell>
          <cell r="AN57" t="str">
            <v>ມ 6</v>
          </cell>
          <cell r="AP57" t="str">
            <v>ປຕ</v>
          </cell>
          <cell r="AR57" t="str">
            <v>ຈັດສັນແຫຼ່ງນໍ້າ ແລະ ນໍາໃຊ້ທີ່ດິນ</v>
          </cell>
          <cell r="AS57" t="str">
            <v>ກໍ່ສ້າງ</v>
          </cell>
          <cell r="AT57" t="str">
            <v>ມະຫາວິທະຍາໄລແຫ່ງຊາດ</v>
          </cell>
          <cell r="AU57" t="str">
            <v>5 ປີ</v>
          </cell>
          <cell r="AV57" t="str">
            <v>2009 - 2014</v>
          </cell>
          <cell r="BJ57" t="str">
            <v>ຄໍາພັນ</v>
          </cell>
          <cell r="BK57" t="str">
            <v>ຕ</v>
          </cell>
          <cell r="BQ57" t="str">
            <v>ບົວພາ ຈັນທະວີສຸກ</v>
          </cell>
          <cell r="BR57">
            <v>63</v>
          </cell>
          <cell r="BS57" t="str">
            <v>ຂຸນຕາທ່າ</v>
          </cell>
          <cell r="BT57" t="str">
            <v>ສີໂຄດຕະບອງ</v>
          </cell>
          <cell r="BU57" t="str">
            <v>ນະຄອນຫຼວງ</v>
          </cell>
          <cell r="BV57" t="str">
            <v>ພະນັກງານ ບໍານານ</v>
          </cell>
          <cell r="BX57" t="str">
            <v>ປິກນິກ ພັນທະມາລາ</v>
          </cell>
          <cell r="BY57">
            <v>34026</v>
          </cell>
          <cell r="BZ57" t="str">
            <v>ຂຸນຕາທ່າ</v>
          </cell>
          <cell r="CA57" t="str">
            <v>ສີໂຄດຕະບອງ</v>
          </cell>
          <cell r="CB57" t="str">
            <v>ນະຄອນຫຼວງ</v>
          </cell>
          <cell r="CC57" t="str">
            <v>ປະຊາຊົນ</v>
          </cell>
          <cell r="CE57">
            <v>1</v>
          </cell>
          <cell r="CF57">
            <v>58397014</v>
          </cell>
          <cell r="CH57" t="str">
            <v>ປົກຄອງ</v>
          </cell>
        </row>
        <row r="58">
          <cell r="G58" t="str">
            <v>ທ. ສຸກສັນ ສຸລິຍະວົງ</v>
          </cell>
          <cell r="H58" t="str">
            <v>ຮອ</v>
          </cell>
          <cell r="I58" t="str">
            <v>ໂຈ້</v>
          </cell>
          <cell r="J58" t="str">
            <v>ຊາຍ</v>
          </cell>
          <cell r="K58">
            <v>33903</v>
          </cell>
          <cell r="L58" t="str">
            <v>32 ປີ</v>
          </cell>
          <cell r="M58">
            <v>44615</v>
          </cell>
          <cell r="O58" t="str">
            <v>ນາເຫຼັກ</v>
          </cell>
          <cell r="P58" t="str">
            <v>ສາລະວັນ</v>
          </cell>
          <cell r="Q58" t="str">
            <v>ສາລະວັນ</v>
          </cell>
          <cell r="R58" t="str">
            <v>ລາດຄວາຍ</v>
          </cell>
          <cell r="S58" t="str">
            <v>ໄຊທານີ</v>
          </cell>
          <cell r="T58" t="str">
            <v>ນະຄອນຫຼວງ</v>
          </cell>
          <cell r="W58" t="str">
            <v>21</v>
          </cell>
          <cell r="X58" t="str">
            <v>01-24037041</v>
          </cell>
          <cell r="Y58" t="str">
            <v>ລລ</v>
          </cell>
          <cell r="Z58" t="str">
            <v>ພຸດ</v>
          </cell>
          <cell r="AA58" t="str">
            <v>ບໍ່ມີ</v>
          </cell>
          <cell r="AB58">
            <v>40988</v>
          </cell>
          <cell r="AC58">
            <v>40988</v>
          </cell>
          <cell r="AE58">
            <v>43185</v>
          </cell>
          <cell r="AG58">
            <v>43636</v>
          </cell>
          <cell r="AI58">
            <v>38882</v>
          </cell>
          <cell r="AL58" t="str">
            <v>ສະມາຊິກ</v>
          </cell>
          <cell r="AM58" t="str">
            <v>ວິຊາການ</v>
          </cell>
          <cell r="AN58" t="str">
            <v>ມ 6</v>
          </cell>
          <cell r="AP58" t="str">
            <v>ປຕ</v>
          </cell>
          <cell r="AQ58" t="str">
            <v>ພາຍໃນ</v>
          </cell>
          <cell r="AR58" t="str">
            <v>ສືບສອນ-ສອບສວນອາຍາ</v>
          </cell>
          <cell r="AS58" t="str">
            <v>ກໍ່ສ້າງ</v>
          </cell>
          <cell r="AT58" t="str">
            <v>ວຕປ</v>
          </cell>
          <cell r="AU58" t="str">
            <v>4 ປີ</v>
          </cell>
          <cell r="AV58" t="str">
            <v>2015 - 2018</v>
          </cell>
          <cell r="BJ58" t="str">
            <v>ພູຄໍາ</v>
          </cell>
          <cell r="BK58">
            <v>53</v>
          </cell>
          <cell r="BL58" t="str">
            <v>ນາເຫຼັກ</v>
          </cell>
          <cell r="BM58" t="str">
            <v>ສາລະວັນ</v>
          </cell>
          <cell r="BN58" t="str">
            <v>ສາລະວັນ</v>
          </cell>
          <cell r="BO58" t="str">
            <v>ຕໍາຫຼວດ</v>
          </cell>
          <cell r="BP58" t="str">
            <v>ປກສ ແຂວງສາລະວັນ</v>
          </cell>
          <cell r="BQ58" t="str">
            <v>ແຂກ</v>
          </cell>
          <cell r="BR58">
            <v>50</v>
          </cell>
          <cell r="BS58" t="str">
            <v>ນາເຫຼັກ</v>
          </cell>
          <cell r="BT58" t="str">
            <v>ສາລະວັນ</v>
          </cell>
          <cell r="BU58" t="str">
            <v>ສາລະວັນ</v>
          </cell>
          <cell r="BV58" t="str">
            <v>ປະຊາຊົນ</v>
          </cell>
          <cell r="BX58" t="str">
            <v>ນ້ອຍ ສູນດາລາ</v>
          </cell>
          <cell r="BY58">
            <v>35618</v>
          </cell>
          <cell r="BZ58" t="str">
            <v>ລາດຄວາຍ</v>
          </cell>
          <cell r="CA58" t="str">
            <v>ໄຊທານີ</v>
          </cell>
          <cell r="CB58" t="str">
            <v>ນະຄອນຫຼວງ</v>
          </cell>
          <cell r="CC58" t="str">
            <v>ຕັດຫຍິບ</v>
          </cell>
          <cell r="CE58">
            <v>2</v>
          </cell>
          <cell r="CF58">
            <v>99919788</v>
          </cell>
          <cell r="CH58" t="str">
            <v xml:space="preserve">    ຕໍາຫຼວດ  ໄປຮຽນຕໍ່ ປ/ທ</v>
          </cell>
        </row>
        <row r="59">
          <cell r="G59" t="str">
            <v>ທ. ຈິມມີ້ ເນົາວະລັດ</v>
          </cell>
          <cell r="H59" t="str">
            <v>ຮອ</v>
          </cell>
          <cell r="J59" t="str">
            <v>ຊາຍ</v>
          </cell>
          <cell r="K59">
            <v>33705</v>
          </cell>
          <cell r="L59" t="str">
            <v>33 ປີ</v>
          </cell>
          <cell r="M59">
            <v>45373</v>
          </cell>
          <cell r="O59" t="str">
            <v>ສູງ</v>
          </cell>
          <cell r="P59" t="str">
            <v>ສາລະວັນ</v>
          </cell>
          <cell r="Q59" t="str">
            <v>ສາລະວັນ</v>
          </cell>
          <cell r="R59" t="str">
            <v>ດອນໜູນ</v>
          </cell>
          <cell r="S59" t="str">
            <v>ໄຊທານີ</v>
          </cell>
          <cell r="T59" t="str">
            <v>ນະຄອນຫຼວງ</v>
          </cell>
          <cell r="U59" t="str">
            <v>815</v>
          </cell>
          <cell r="V59" t="str">
            <v>13 ໃຕ້</v>
          </cell>
          <cell r="X59" t="str">
            <v>A1-0034082</v>
          </cell>
          <cell r="Y59" t="str">
            <v>ລລ</v>
          </cell>
          <cell r="Z59" t="str">
            <v>ພຸດ</v>
          </cell>
          <cell r="AA59" t="str">
            <v>34393/ກພງ</v>
          </cell>
          <cell r="AB59">
            <v>40840</v>
          </cell>
          <cell r="AC59">
            <v>40840</v>
          </cell>
          <cell r="AE59">
            <v>43608</v>
          </cell>
          <cell r="AG59">
            <v>44188</v>
          </cell>
          <cell r="AI59">
            <v>39104</v>
          </cell>
          <cell r="AL59" t="str">
            <v>ສະມາຊິກ</v>
          </cell>
          <cell r="AM59" t="str">
            <v>ວິຊາການ</v>
          </cell>
          <cell r="AN59" t="str">
            <v>ມ 7</v>
          </cell>
          <cell r="AO59" t="str">
            <v>ຫວຽດນາມ</v>
          </cell>
          <cell r="AP59" t="str">
            <v>ປຕ</v>
          </cell>
          <cell r="AQ59" t="str">
            <v>ຕ່າງປະເທດ</v>
          </cell>
          <cell r="AR59" t="str">
            <v>ຕ້ານນັກສືບ</v>
          </cell>
          <cell r="AS59" t="str">
            <v>ກໍາສ້່າງ</v>
          </cell>
          <cell r="AT59" t="str">
            <v>ວິທະຍາຄານ ປກສ ປະຊາຊົນ ສສ ຫວຽດນາມ</v>
          </cell>
          <cell r="AU59" t="str">
            <v>6 ປີ</v>
          </cell>
          <cell r="AV59" t="str">
            <v>2014 - 2020</v>
          </cell>
          <cell r="BD59" t="str">
            <v>ຂັ້ນກາງ</v>
          </cell>
          <cell r="BE59" t="str">
            <v>ທິດສະດີມາກ-ເລນິນ</v>
          </cell>
          <cell r="BF59" t="str">
            <v>ບໍາລຸງ</v>
          </cell>
          <cell r="BG59" t="str">
            <v>ວິທະຍາຄານ ປກສ ປະຊາຊົນ ສສ ຫວຽດນາມ</v>
          </cell>
          <cell r="BH59" t="str">
            <v>3 ເດືອນ</v>
          </cell>
          <cell r="BI59">
            <v>2015</v>
          </cell>
          <cell r="BJ59" t="str">
            <v>ພອນທະວີ</v>
          </cell>
          <cell r="BK59">
            <v>65</v>
          </cell>
          <cell r="BL59" t="str">
            <v>ດອນໜູນ</v>
          </cell>
          <cell r="BM59" t="str">
            <v>ໄຊທານີ</v>
          </cell>
          <cell r="BN59" t="str">
            <v>ນະຄອນຫຼວງ</v>
          </cell>
          <cell r="BO59" t="str">
            <v>ປະຊາຊົນ</v>
          </cell>
          <cell r="BQ59" t="str">
            <v>ວັນຄໍາ</v>
          </cell>
          <cell r="BR59">
            <v>61</v>
          </cell>
          <cell r="BS59" t="str">
            <v>ດອນໜູນ</v>
          </cell>
          <cell r="BT59" t="str">
            <v>ໄຊທານີ</v>
          </cell>
          <cell r="BU59" t="str">
            <v>ນະຄອນຫຼວງ</v>
          </cell>
          <cell r="BV59" t="str">
            <v>ປະຊາຊົນ</v>
          </cell>
          <cell r="BX59" t="str">
            <v>ມິດດາວອນ ພັນທະວົງ</v>
          </cell>
          <cell r="BY59">
            <v>32426</v>
          </cell>
          <cell r="BZ59" t="str">
            <v>ໂຊກໃຫຍ່</v>
          </cell>
          <cell r="CA59" t="str">
            <v>ໄຊເສດຖາ</v>
          </cell>
          <cell r="CB59" t="str">
            <v>ນະຄອນຫຼວງ</v>
          </cell>
          <cell r="CC59" t="str">
            <v>ປະຊາຊົນ</v>
          </cell>
          <cell r="CE59">
            <v>0</v>
          </cell>
          <cell r="CF59">
            <v>55546133</v>
          </cell>
          <cell r="CH59" t="str">
            <v>ສັນຕິບານ</v>
          </cell>
        </row>
        <row r="60">
          <cell r="G60" t="str">
            <v>ທ. ຄໍາສຸກ ດວງມະນີວົງ</v>
          </cell>
          <cell r="H60" t="str">
            <v>ຮອ</v>
          </cell>
          <cell r="I60" t="str">
            <v>ແອ</v>
          </cell>
          <cell r="J60" t="str">
            <v>ຊາຍ</v>
          </cell>
          <cell r="K60">
            <v>32017</v>
          </cell>
          <cell r="L60" t="str">
            <v>37 ປີ</v>
          </cell>
          <cell r="M60">
            <v>44481</v>
          </cell>
          <cell r="O60" t="str">
            <v>ໂພນງາມ</v>
          </cell>
          <cell r="P60" t="str">
            <v>ໄຊທານີ</v>
          </cell>
          <cell r="Q60" t="str">
            <v>ນະຄອນຫຼວງ</v>
          </cell>
          <cell r="R60" t="str">
            <v>ດອນໜູນ</v>
          </cell>
          <cell r="S60" t="str">
            <v>ໄຊທານີ</v>
          </cell>
          <cell r="T60" t="str">
            <v>ນະຄອນຫຼວງ</v>
          </cell>
          <cell r="U60">
            <v>885</v>
          </cell>
          <cell r="V60" t="str">
            <v>ດອນໜູນ</v>
          </cell>
          <cell r="W60" t="str">
            <v>8</v>
          </cell>
          <cell r="X60" t="str">
            <v>01-18051708</v>
          </cell>
          <cell r="Y60" t="str">
            <v>ລລ</v>
          </cell>
          <cell r="Z60" t="str">
            <v>ພຸດ</v>
          </cell>
          <cell r="AA60" t="str">
            <v>25541/ກພງ</v>
          </cell>
          <cell r="AB60">
            <v>40214</v>
          </cell>
          <cell r="AC60">
            <v>40214</v>
          </cell>
          <cell r="AE60">
            <v>42810</v>
          </cell>
          <cell r="AG60">
            <v>43306</v>
          </cell>
          <cell r="AI60">
            <v>38143</v>
          </cell>
          <cell r="AL60" t="str">
            <v>ສະມາຊິກ</v>
          </cell>
          <cell r="AM60" t="str">
            <v>ວິຊາການ</v>
          </cell>
          <cell r="AN60" t="str">
            <v>ມ 6</v>
          </cell>
          <cell r="AP60" t="str">
            <v>ປຕ</v>
          </cell>
          <cell r="AQ60" t="str">
            <v>ພາຍໃນ</v>
          </cell>
          <cell r="AR60" t="str">
            <v>ປ້ອງກັນພາຍໃນ</v>
          </cell>
          <cell r="AS60" t="str">
            <v>ກໍ່ສ້າງ</v>
          </cell>
          <cell r="AT60" t="str">
            <v>ວປສ ແຫ່ງຊາດ</v>
          </cell>
          <cell r="AU60" t="str">
            <v>4 ປີ</v>
          </cell>
          <cell r="AV60" t="str">
            <v>2014 - 2018</v>
          </cell>
          <cell r="BJ60" t="str">
            <v>ຕີ</v>
          </cell>
          <cell r="BK60" t="str">
            <v>ຕ</v>
          </cell>
          <cell r="BQ60" t="str">
            <v>ເປົ້າ</v>
          </cell>
          <cell r="BR60">
            <v>79</v>
          </cell>
          <cell r="BS60" t="str">
            <v>ໂພນງາມ</v>
          </cell>
          <cell r="BT60" t="str">
            <v>ໄຊທານີ</v>
          </cell>
          <cell r="BU60" t="str">
            <v>ນະຄອນຫຼວງ</v>
          </cell>
          <cell r="BV60" t="str">
            <v>ປະຊາຊົນ</v>
          </cell>
          <cell r="BW60" t="str">
            <v>ໂພນງາມ</v>
          </cell>
          <cell r="BX60" t="str">
            <v>ນ. ເດືອນ ໄຊຍະແສງ</v>
          </cell>
          <cell r="BY60">
            <v>32730</v>
          </cell>
          <cell r="BZ60" t="str">
            <v>ດອນໜູນ</v>
          </cell>
          <cell r="CA60" t="str">
            <v>ໄຊທານີ</v>
          </cell>
          <cell r="CB60" t="str">
            <v>ນະຄອນຫຼວງ</v>
          </cell>
          <cell r="CC60" t="str">
            <v>ຄູ</v>
          </cell>
          <cell r="CD60" t="str">
            <v>ມສ ດອນໜູນ</v>
          </cell>
          <cell r="CE60">
            <v>2</v>
          </cell>
          <cell r="CF60">
            <v>54243470</v>
          </cell>
          <cell r="CH60" t="str">
            <v>ສັນຕິບານ</v>
          </cell>
        </row>
        <row r="61">
          <cell r="G61" t="str">
            <v>ທ. ຄຳນ້ອຍ ເພຍແກ້ວ</v>
          </cell>
          <cell r="H61" t="str">
            <v>ຮອ</v>
          </cell>
          <cell r="I61" t="str">
            <v>ນ້ອຍ</v>
          </cell>
          <cell r="J61" t="str">
            <v>ຊາຍ</v>
          </cell>
          <cell r="K61">
            <v>32894</v>
          </cell>
          <cell r="L61" t="str">
            <v>35 ປີ</v>
          </cell>
          <cell r="M61">
            <v>45373</v>
          </cell>
          <cell r="O61" t="str">
            <v>ບານ</v>
          </cell>
          <cell r="P61" t="str">
            <v>ຄໍາ</v>
          </cell>
          <cell r="Q61" t="str">
            <v>ຄໍາມ່ວນ</v>
          </cell>
          <cell r="R61" t="str">
            <v>ໜອງປິງ</v>
          </cell>
          <cell r="S61" t="str">
            <v>ຈັນທະບູລີ</v>
          </cell>
          <cell r="T61" t="str">
            <v>ນະຄອນຫຼວງ</v>
          </cell>
          <cell r="X61" t="str">
            <v>856090219900564</v>
          </cell>
          <cell r="Y61" t="str">
            <v>ລລ</v>
          </cell>
          <cell r="Z61" t="str">
            <v>ຜີ</v>
          </cell>
          <cell r="AA61" t="str">
            <v>ກໍາລັງເຮັດ</v>
          </cell>
          <cell r="AB61">
            <v>40099</v>
          </cell>
          <cell r="AC61">
            <v>40099</v>
          </cell>
          <cell r="AE61">
            <v>42717</v>
          </cell>
          <cell r="AG61">
            <v>43126</v>
          </cell>
          <cell r="AI61">
            <v>38661</v>
          </cell>
          <cell r="AL61" t="str">
            <v>ສະມາຊິກ</v>
          </cell>
          <cell r="AM61" t="str">
            <v>ວິຊາການ</v>
          </cell>
          <cell r="AN61" t="str">
            <v>ມ 6</v>
          </cell>
          <cell r="AO61" t="str">
            <v>ຫວຽດນາມ</v>
          </cell>
          <cell r="AP61" t="str">
            <v>ປຕ</v>
          </cell>
          <cell r="AQ61" t="str">
            <v>ຕ່າງປະເທດ</v>
          </cell>
          <cell r="AR61" t="str">
            <v>ປາບປາມຢາເສບຕິດ</v>
          </cell>
          <cell r="AS61" t="str">
            <v>ກໍ່ສ້າງ</v>
          </cell>
          <cell r="AT61" t="str">
            <v>ວິທະຍາຄານ ຕໍາຫຼວດ ປະຊາຊົນ ສສ ຫວຽດນາມ</v>
          </cell>
          <cell r="AU61" t="str">
            <v>6 ປີ</v>
          </cell>
          <cell r="AV61" t="str">
            <v>2014 - 2020</v>
          </cell>
          <cell r="BD61" t="str">
            <v>ຊັ້ນກາງ</v>
          </cell>
          <cell r="BE61" t="str">
            <v>ການເມືອງ</v>
          </cell>
          <cell r="BF61" t="str">
            <v>ບໍາລຸງ</v>
          </cell>
          <cell r="BG61" t="str">
            <v>ວິທະຍາຄານ ຕໍາຫຼວດ ປະຊາຊົນ ສສ ຫວຽດນາມ</v>
          </cell>
          <cell r="BH61" t="str">
            <v>45 ວັນ</v>
          </cell>
          <cell r="BI61">
            <v>2020</v>
          </cell>
          <cell r="BJ61" t="str">
            <v>ວົງໄຊ</v>
          </cell>
          <cell r="BK61" t="str">
            <v>ຕ</v>
          </cell>
          <cell r="BQ61" t="str">
            <v>ບົວພາ</v>
          </cell>
          <cell r="BR61">
            <v>56</v>
          </cell>
          <cell r="BS61" t="str">
            <v>ບານ</v>
          </cell>
          <cell r="BT61" t="str">
            <v>ຄໍາ</v>
          </cell>
          <cell r="BU61" t="str">
            <v>ຊຽງຂວາງ</v>
          </cell>
          <cell r="BV61" t="str">
            <v>ປະຊາຊົນ</v>
          </cell>
          <cell r="CF61">
            <v>76716477</v>
          </cell>
          <cell r="CH61" t="str">
            <v>ປົກຄອງ
ລົງຮາກຖານ</v>
          </cell>
        </row>
        <row r="62">
          <cell r="G62" t="str">
            <v>ທ. ພວງຄຳ ວົງພະຈັນ</v>
          </cell>
          <cell r="H62" t="str">
            <v>ຮອ</v>
          </cell>
          <cell r="I62" t="str">
            <v>ພວງ</v>
          </cell>
          <cell r="J62" t="str">
            <v>ຊາຍ</v>
          </cell>
          <cell r="K62">
            <v>31298</v>
          </cell>
          <cell r="L62" t="str">
            <v>39 ປີ</v>
          </cell>
          <cell r="M62">
            <v>44481</v>
          </cell>
          <cell r="O62" t="str">
            <v>ປ່າວໃຕ້</v>
          </cell>
          <cell r="P62" t="str">
            <v>ຊໍາໃຕ້</v>
          </cell>
          <cell r="Q62" t="str">
            <v>ຫົວພັນ</v>
          </cell>
          <cell r="R62" t="str">
            <v>ດອນໜູນ</v>
          </cell>
          <cell r="S62" t="str">
            <v>ໄຊທານີ</v>
          </cell>
          <cell r="T62" t="str">
            <v>ນະຄອນຫຼວງ</v>
          </cell>
          <cell r="U62" t="str">
            <v>432</v>
          </cell>
          <cell r="X62" t="str">
            <v>ບໍ່ມີ</v>
          </cell>
          <cell r="Y62" t="str">
            <v>ລລ</v>
          </cell>
          <cell r="Z62" t="str">
            <v>ຜີ</v>
          </cell>
          <cell r="AA62" t="str">
            <v>25542/ກພງ</v>
          </cell>
          <cell r="AB62">
            <v>41193</v>
          </cell>
          <cell r="AC62">
            <v>41193</v>
          </cell>
          <cell r="AE62">
            <v>43413</v>
          </cell>
          <cell r="AG62">
            <v>43873</v>
          </cell>
          <cell r="AI62">
            <v>41863</v>
          </cell>
          <cell r="AL62" t="str">
            <v>ສະມາຊິກ</v>
          </cell>
          <cell r="AM62" t="str">
            <v>ວິຊາການ</v>
          </cell>
          <cell r="AN62" t="str">
            <v>ມ 6</v>
          </cell>
          <cell r="AP62" t="str">
            <v>ຊສ</v>
          </cell>
          <cell r="AQ62" t="str">
            <v>ພາຍໃນ</v>
          </cell>
          <cell r="AR62" t="str">
            <v>ດໍາເນີນຄະດີອາຍາ</v>
          </cell>
          <cell r="AS62" t="str">
            <v>ກໍ່ສ້າງ</v>
          </cell>
          <cell r="AT62" t="str">
            <v>ວິທະຍາໄລ ສັນຕິບານ ປະຊາຊົນ ເລກ1</v>
          </cell>
          <cell r="AU62" t="str">
            <v>2 ປີ</v>
          </cell>
          <cell r="AV62" t="str">
            <v>2019 - 2020</v>
          </cell>
          <cell r="BJ62" t="str">
            <v>ຕ</v>
          </cell>
          <cell r="BQ62" t="str">
            <v>ຕ</v>
          </cell>
          <cell r="BX62" t="str">
            <v>ບົວລະວັນ ວົງພະຈັນ</v>
          </cell>
          <cell r="BY62">
            <v>31316</v>
          </cell>
          <cell r="BZ62" t="str">
            <v>ດອນໜູນ</v>
          </cell>
          <cell r="CA62" t="str">
            <v>ໄຊທານີ</v>
          </cell>
          <cell r="CB62" t="str">
            <v>ນະຄອນຫຼວງ</v>
          </cell>
          <cell r="CC62" t="str">
            <v>ທະຫານ</v>
          </cell>
          <cell r="CE62">
            <v>1</v>
          </cell>
          <cell r="CF62">
            <v>98571048</v>
          </cell>
          <cell r="CH62" t="str">
            <v>ຕໍາຫຼວດ</v>
          </cell>
        </row>
        <row r="63">
          <cell r="G63" t="str">
            <v>ທ. ກາດຳ ລໍວັນໄຊ</v>
          </cell>
          <cell r="H63" t="str">
            <v>ຮທ</v>
          </cell>
          <cell r="J63" t="str">
            <v>ຊາຍ</v>
          </cell>
          <cell r="K63">
            <v>34091</v>
          </cell>
          <cell r="L63" t="str">
            <v>32 ປີ</v>
          </cell>
          <cell r="M63">
            <v>45071</v>
          </cell>
          <cell r="O63" t="str">
            <v>ຫາດຊາຍຄໍາ</v>
          </cell>
          <cell r="P63" t="str">
            <v>ປາກກະດິງ</v>
          </cell>
          <cell r="Q63" t="str">
            <v>ບໍລິຄໍາໄຊ</v>
          </cell>
          <cell r="R63" t="str">
            <v>ດົງໝາກຄາຍ</v>
          </cell>
          <cell r="S63" t="str">
            <v>ໄຊທານີ</v>
          </cell>
          <cell r="T63" t="str">
            <v>ນະຄອນຫຼວງ</v>
          </cell>
          <cell r="U63" t="str">
            <v>397</v>
          </cell>
          <cell r="W63" t="str">
            <v>09</v>
          </cell>
          <cell r="X63" t="str">
            <v>01-22047057</v>
          </cell>
          <cell r="Y63" t="str">
            <v>ລລ</v>
          </cell>
          <cell r="Z63" t="str">
            <v>ພຸດ</v>
          </cell>
          <cell r="AA63" t="str">
            <v>36915/ກພງ</v>
          </cell>
          <cell r="AB63">
            <v>41864</v>
          </cell>
          <cell r="AC63">
            <v>41864</v>
          </cell>
          <cell r="AE63">
            <v>44118</v>
          </cell>
          <cell r="AG63">
            <v>44622</v>
          </cell>
          <cell r="AI63">
            <v>41032</v>
          </cell>
          <cell r="AL63" t="str">
            <v>ສະມາຊິກ</v>
          </cell>
          <cell r="AM63" t="str">
            <v>ວິຊາການ</v>
          </cell>
          <cell r="AN63" t="str">
            <v>ມ 7</v>
          </cell>
          <cell r="AP63" t="str">
            <v>ປຕ</v>
          </cell>
          <cell r="AQ63" t="str">
            <v>ພາຍໃນ</v>
          </cell>
          <cell r="AR63" t="str">
            <v>ປ້ອງກັນພາຍໃນ</v>
          </cell>
          <cell r="AS63" t="str">
            <v>ກໍ່ສ້າງ</v>
          </cell>
          <cell r="AT63" t="str">
            <v>ວິທະຍາຄານ ສັນຕິບານ ປະຊາຊົນ</v>
          </cell>
          <cell r="AU63" t="str">
            <v>4 ປີ</v>
          </cell>
          <cell r="AV63" t="str">
            <v>2019 - 2023</v>
          </cell>
          <cell r="BJ63" t="str">
            <v>ແກ້ວ ລໍວັນໄຊ</v>
          </cell>
          <cell r="BK63">
            <v>63</v>
          </cell>
          <cell r="BL63" t="str">
            <v>ຫາດຊາຍຄໍາ</v>
          </cell>
          <cell r="BM63" t="str">
            <v>ປາກກະດິງ</v>
          </cell>
          <cell r="BN63" t="str">
            <v>ບໍລິຄໍາໄຊ</v>
          </cell>
          <cell r="BO63" t="str">
            <v>ຊາວນາ</v>
          </cell>
          <cell r="BQ63" t="str">
            <v>ດາ ລໍວັນໄຊ</v>
          </cell>
          <cell r="BR63">
            <v>60</v>
          </cell>
          <cell r="BS63" t="str">
            <v>ຫາດຊາຍຄໍາ</v>
          </cell>
          <cell r="BT63" t="str">
            <v>ປາກກະດິງ</v>
          </cell>
          <cell r="BU63" t="str">
            <v>ບໍລິຄໍາໄຊ</v>
          </cell>
          <cell r="BV63" t="str">
            <v>ຊາວນາ</v>
          </cell>
          <cell r="BX63" t="str">
            <v>ອຸໄລວັນ ພົມມິໄຊ</v>
          </cell>
          <cell r="BY63">
            <v>34648</v>
          </cell>
          <cell r="BZ63" t="str">
            <v>ໂພນຈະເລີນ</v>
          </cell>
          <cell r="CA63" t="str">
            <v>ປາກກະດິງ</v>
          </cell>
          <cell r="CB63" t="str">
            <v>ບໍລິຄໍາໄຊ</v>
          </cell>
          <cell r="CC63" t="str">
            <v>ປະຊາຊົນ</v>
          </cell>
          <cell r="CE63">
            <v>0</v>
          </cell>
          <cell r="CF63">
            <v>29801650</v>
          </cell>
          <cell r="CH63" t="str">
            <v>ປົກຄອງ</v>
          </cell>
        </row>
        <row r="64">
          <cell r="G64" t="str">
            <v>ນ. ທອງພອນ ທອງດາວັນ</v>
          </cell>
          <cell r="H64" t="str">
            <v>ຮທ</v>
          </cell>
          <cell r="J64" t="str">
            <v>ຍິງ</v>
          </cell>
          <cell r="K64">
            <v>34367</v>
          </cell>
          <cell r="L64" t="str">
            <v>31 ປີ</v>
          </cell>
          <cell r="M64">
            <v>45071</v>
          </cell>
          <cell r="O64" t="str">
            <v>ອາມອນ</v>
          </cell>
          <cell r="P64" t="str">
            <v>ໄຊເສດຖາ</v>
          </cell>
          <cell r="Q64" t="str">
            <v>ນະຄອນຫຼວງ</v>
          </cell>
          <cell r="R64" t="str">
            <v>ຂາມງອຍ</v>
          </cell>
          <cell r="S64" t="str">
            <v>ໄຊເສດຖາ</v>
          </cell>
          <cell r="T64" t="str">
            <v>ນະຄອນຫຼວງ</v>
          </cell>
          <cell r="X64" t="str">
            <v>ບໍ່ມີ</v>
          </cell>
          <cell r="Y64" t="str">
            <v>ລລ</v>
          </cell>
          <cell r="Z64" t="str">
            <v>ພຸດ</v>
          </cell>
          <cell r="AA64" t="str">
            <v>36916/ກພງ</v>
          </cell>
          <cell r="AB64">
            <v>43095</v>
          </cell>
          <cell r="AC64">
            <v>43095</v>
          </cell>
          <cell r="AE64">
            <v>44847</v>
          </cell>
          <cell r="AG64">
            <v>45253</v>
          </cell>
          <cell r="AI64">
            <v>39563</v>
          </cell>
          <cell r="AJ64">
            <v>39879</v>
          </cell>
          <cell r="AL64" t="str">
            <v>ສະມາຊິກ</v>
          </cell>
          <cell r="AM64" t="str">
            <v>ວິຊາການ</v>
          </cell>
          <cell r="AN64" t="str">
            <v>ມ 7</v>
          </cell>
          <cell r="AP64" t="str">
            <v>ປຕ</v>
          </cell>
          <cell r="AQ64" t="str">
            <v>ພາຍໃນ</v>
          </cell>
          <cell r="AR64" t="str">
            <v>ປກສ ໃນຂົງເຂດພົວພັນຕ່າງປະເທດ</v>
          </cell>
          <cell r="AS64" t="str">
            <v>ກໍ່ສ້າງ</v>
          </cell>
          <cell r="AT64" t="str">
            <v>ວິທະຍາຄານ ສັນຕິບານ ປະຊາຊົນ</v>
          </cell>
          <cell r="AU64" t="str">
            <v>4 ປີ</v>
          </cell>
          <cell r="AV64" t="str">
            <v>2019 - 2023</v>
          </cell>
          <cell r="BJ64" t="str">
            <v>ພົມມາ ທອງຕາວັນ</v>
          </cell>
          <cell r="BK64">
            <v>63</v>
          </cell>
          <cell r="BL64" t="str">
            <v>ຂາມງອຍ</v>
          </cell>
          <cell r="BM64" t="str">
            <v>ໄຊເສດຖາ</v>
          </cell>
          <cell r="BN64" t="str">
            <v>ນະຄອນຫຼວງ</v>
          </cell>
          <cell r="BO64" t="str">
            <v>ພະນັກງານ ບໍານານ</v>
          </cell>
          <cell r="BQ64" t="str">
            <v>ຫັດສະດີ ທອງດາວັນ</v>
          </cell>
          <cell r="BR64">
            <v>54</v>
          </cell>
          <cell r="BS64" t="str">
            <v>ຂາມງອຍ</v>
          </cell>
          <cell r="BT64" t="str">
            <v>ໄຊເສດຖາ</v>
          </cell>
          <cell r="BU64" t="str">
            <v>ນະຄອນຫຼວງ</v>
          </cell>
          <cell r="BV64" t="str">
            <v>ທະຫານ</v>
          </cell>
          <cell r="BW64" t="str">
            <v>ໂຮງພິມແຜນທີ່ກອງທັບ</v>
          </cell>
          <cell r="BX64" t="str">
            <v>ໂອບີ່ ພົມມະລາດ</v>
          </cell>
          <cell r="BY64">
            <v>34125</v>
          </cell>
          <cell r="BZ64" t="str">
            <v>ຂາມງອຍ</v>
          </cell>
          <cell r="CA64" t="str">
            <v>ໄຊເສດຖາ</v>
          </cell>
          <cell r="CB64" t="str">
            <v>ນະຄອນຫຼວງ</v>
          </cell>
          <cell r="CC64" t="str">
            <v>ປະຊາຊົນ</v>
          </cell>
          <cell r="CE64">
            <v>0</v>
          </cell>
          <cell r="CF64">
            <v>99162031</v>
          </cell>
          <cell r="CH64" t="str">
            <v>ສັນຕິບານ</v>
          </cell>
        </row>
        <row r="65">
          <cell r="G65" t="str">
            <v>ທ. ອໍານາດ ແກ້ວປະພັນ</v>
          </cell>
          <cell r="H65" t="str">
            <v>ຮທ</v>
          </cell>
          <cell r="I65" t="str">
            <v>ອາໂລ</v>
          </cell>
          <cell r="J65" t="str">
            <v>ຊາຍ</v>
          </cell>
          <cell r="K65">
            <v>35459</v>
          </cell>
          <cell r="L65" t="str">
            <v>28 ປີ</v>
          </cell>
          <cell r="M65">
            <v>44777</v>
          </cell>
          <cell r="O65" t="str">
            <v>ມະໂນ</v>
          </cell>
          <cell r="P65" t="str">
            <v>ຫຼວງພະບາງ</v>
          </cell>
          <cell r="Q65" t="str">
            <v>ຫຼວງພະບາງ</v>
          </cell>
          <cell r="R65" t="str">
            <v>ໜອງບຶກເໜືອ</v>
          </cell>
          <cell r="S65" t="str">
            <v>ສີໂຄດຕະບອງ</v>
          </cell>
          <cell r="T65" t="str">
            <v>ນະຄອນຫຼວງ</v>
          </cell>
          <cell r="U65" t="str">
            <v>072</v>
          </cell>
          <cell r="W65" t="str">
            <v>04</v>
          </cell>
          <cell r="X65" t="str">
            <v>12-3065352</v>
          </cell>
          <cell r="Y65" t="str">
            <v>ລລ</v>
          </cell>
          <cell r="Z65" t="str">
            <v>ພຸດ</v>
          </cell>
          <cell r="AA65" t="str">
            <v>37635/ກພງ</v>
          </cell>
          <cell r="AB65">
            <v>42138</v>
          </cell>
          <cell r="AC65">
            <v>42138</v>
          </cell>
          <cell r="AE65">
            <v>45112</v>
          </cell>
          <cell r="AG65">
            <v>45516</v>
          </cell>
          <cell r="AI65" t="str">
            <v>25/12/20211</v>
          </cell>
          <cell r="AL65" t="str">
            <v>ສະມາຊິກ</v>
          </cell>
          <cell r="AM65" t="str">
            <v>ວິຊາການ</v>
          </cell>
          <cell r="AN65" t="str">
            <v>ມ7</v>
          </cell>
          <cell r="AO65" t="str">
            <v>ຫວຽດນາມ, ອັງກິດ</v>
          </cell>
          <cell r="AP65" t="str">
            <v>ປຕ</v>
          </cell>
          <cell r="AQ65" t="str">
            <v>ຕ່າງປະເທດ</v>
          </cell>
          <cell r="AR65" t="str">
            <v>ເສນາ-ບັນຊາພະລາທິການ</v>
          </cell>
          <cell r="AS65" t="str">
            <v>ກໍ່ສ້າງ</v>
          </cell>
          <cell r="AT65" t="str">
            <v>ເຕັກນິກພະລາທິການ</v>
          </cell>
          <cell r="AU65" t="str">
            <v>5 ປີ</v>
          </cell>
          <cell r="AV65" t="str">
            <v>2017 - 2022</v>
          </cell>
          <cell r="BJ65" t="str">
            <v>ລິນທອງ ແກ້ວປະພັນ</v>
          </cell>
          <cell r="BK65">
            <v>55</v>
          </cell>
          <cell r="BL65" t="str">
            <v>ໜອງບຶກເໜືອ</v>
          </cell>
          <cell r="BM65" t="str">
            <v>ສີໂຄດຕະບອງ</v>
          </cell>
          <cell r="BN65" t="str">
            <v>ນະຄອນຫຼວງ</v>
          </cell>
          <cell r="BO65" t="str">
            <v>ຕໍາຫຼວດ</v>
          </cell>
          <cell r="BP65" t="str">
            <v>ວສຊ1</v>
          </cell>
          <cell r="BQ65" t="str">
            <v>ຄໍາໃບ ບຸນຊະນິດ</v>
          </cell>
          <cell r="BR65">
            <v>54</v>
          </cell>
          <cell r="BS65" t="str">
            <v>ໜອງບຶກເໜືອ</v>
          </cell>
          <cell r="BT65" t="str">
            <v>ສີໂຄດຕະບອງ</v>
          </cell>
          <cell r="BU65" t="str">
            <v>ນະຄອນຫຼວງ</v>
          </cell>
          <cell r="BV65" t="str">
            <v>ປະຊາຊົນ</v>
          </cell>
          <cell r="BW65" t="str">
            <v>ໜອງບຶກເໜືອ</v>
          </cell>
          <cell r="CF65">
            <v>55291720</v>
          </cell>
          <cell r="CH65" t="str">
            <v>ປົກຄອງ</v>
          </cell>
          <cell r="CI65">
            <v>45575</v>
          </cell>
          <cell r="CJ65" t="str">
            <v>4455/ກມປສ</v>
          </cell>
        </row>
        <row r="66">
          <cell r="G66" t="str">
            <v>ທ. ເດບ໋ອມ ຄູນທອງຄຳ</v>
          </cell>
          <cell r="H66" t="str">
            <v>ຮທ</v>
          </cell>
          <cell r="J66" t="str">
            <v>ຊາຍ</v>
          </cell>
          <cell r="K66">
            <v>33043</v>
          </cell>
          <cell r="L66" t="str">
            <v>34 ປີ</v>
          </cell>
          <cell r="M66">
            <v>45231</v>
          </cell>
          <cell r="O66" t="str">
            <v>ຊຽງຄູນ</v>
          </cell>
          <cell r="P66" t="str">
            <v>ແອດ</v>
          </cell>
          <cell r="Q66" t="str">
            <v>ຫົວພັນ</v>
          </cell>
          <cell r="R66" t="str">
            <v>ນາບຽນ</v>
          </cell>
          <cell r="S66" t="str">
            <v>ໄຊເສດຖາ</v>
          </cell>
          <cell r="T66" t="str">
            <v>ນະຄອນຫຼວງ</v>
          </cell>
          <cell r="X66" t="str">
            <v>0012615</v>
          </cell>
          <cell r="Y66" t="str">
            <v>ລລ</v>
          </cell>
          <cell r="Z66" t="str">
            <v>ພຸດ</v>
          </cell>
          <cell r="AA66" t="str">
            <v>36917/ກພງ</v>
          </cell>
          <cell r="AB66">
            <v>42496</v>
          </cell>
          <cell r="AC66">
            <v>42496</v>
          </cell>
          <cell r="AE66">
            <v>44278</v>
          </cell>
          <cell r="AG66">
            <v>44712</v>
          </cell>
          <cell r="AI66">
            <v>40487</v>
          </cell>
          <cell r="AL66" t="str">
            <v>ສະມາຊິກ</v>
          </cell>
          <cell r="AM66" t="str">
            <v>ວິຊາການ</v>
          </cell>
          <cell r="AN66" t="str">
            <v>ມ 7</v>
          </cell>
          <cell r="AP66" t="str">
            <v>ຊສ</v>
          </cell>
          <cell r="AQ66" t="str">
            <v>ພາຍໃນ</v>
          </cell>
          <cell r="AR66" t="str">
            <v>ຈາລະຈອນ</v>
          </cell>
          <cell r="AS66" t="str">
            <v>ກໍ່ສ້າງ</v>
          </cell>
          <cell r="AT66" t="str">
            <v>ປກສ ຊັ້ນສູງ ເລກ4 ແຂວງ ຈໍາປາສັກ</v>
          </cell>
          <cell r="AU66" t="str">
            <v>2 ປີ</v>
          </cell>
          <cell r="AV66" t="str">
            <v>2018 - 2020</v>
          </cell>
          <cell r="BJ66" t="str">
            <v>ບຸນມີ ຄູນທອງຄໍາ</v>
          </cell>
          <cell r="BK66">
            <v>65</v>
          </cell>
          <cell r="BL66" t="str">
            <v>ຊຽງຄູນ</v>
          </cell>
          <cell r="BM66" t="str">
            <v>ແອດ</v>
          </cell>
          <cell r="BN66" t="str">
            <v>ຫົວພັນ</v>
          </cell>
          <cell r="BO66" t="str">
            <v>ປະຊາຊົນ</v>
          </cell>
          <cell r="BQ66" t="str">
            <v>ແອງ ຄູນທອງຄໍາ</v>
          </cell>
          <cell r="BR66">
            <v>58</v>
          </cell>
          <cell r="BS66" t="str">
            <v>ຊຽງຄູນ</v>
          </cell>
          <cell r="BT66" t="str">
            <v>ແອດ</v>
          </cell>
          <cell r="BU66" t="str">
            <v>ຫົວພັນ</v>
          </cell>
          <cell r="BV66" t="str">
            <v>ປະຊາຊົນ</v>
          </cell>
          <cell r="BX66" t="str">
            <v>ເງິນຕາ ພົມມະຈັນ</v>
          </cell>
          <cell r="BY66">
            <v>33767</v>
          </cell>
          <cell r="BZ66" t="str">
            <v>ນາບຽນ</v>
          </cell>
          <cell r="CA66" t="str">
            <v>ໄຊເສດຖາ</v>
          </cell>
          <cell r="CB66" t="str">
            <v>ນະຄອນຫຼວງ</v>
          </cell>
          <cell r="CC66" t="str">
            <v>ຄ້າຂາຍ</v>
          </cell>
          <cell r="CE66">
            <v>2</v>
          </cell>
          <cell r="CF66">
            <v>59978877</v>
          </cell>
          <cell r="CH66" t="str">
            <v>ສັນຕິບານ</v>
          </cell>
        </row>
        <row r="67">
          <cell r="G67" t="str">
            <v>ທ. ປທ ອານຸລັກ ໄຊຍະວົງສາ</v>
          </cell>
          <cell r="H67" t="str">
            <v>ຮທ</v>
          </cell>
          <cell r="I67" t="str">
            <v>ລັກ</v>
          </cell>
          <cell r="J67" t="str">
            <v>ຊາຍ</v>
          </cell>
          <cell r="K67">
            <v>32176</v>
          </cell>
          <cell r="L67" t="str">
            <v>37 ປີ</v>
          </cell>
          <cell r="M67">
            <v>44568</v>
          </cell>
          <cell r="O67" t="str">
            <v>ປາກທ້າງ</v>
          </cell>
          <cell r="P67" t="str">
            <v>ສີໂຄດຕະບອງ</v>
          </cell>
          <cell r="Q67" t="str">
            <v>ນະຄອນຫຼວງ</v>
          </cell>
          <cell r="R67" t="str">
            <v>ນາເລົ່າ</v>
          </cell>
          <cell r="S67" t="str">
            <v>ສີໂຄຕະບອງ</v>
          </cell>
          <cell r="T67" t="str">
            <v>ນະຄອນຫຼວງ</v>
          </cell>
          <cell r="X67" t="str">
            <v>01-22004439</v>
          </cell>
          <cell r="Y67" t="str">
            <v>ລລ</v>
          </cell>
          <cell r="Z67" t="str">
            <v>ພຸດ</v>
          </cell>
          <cell r="AA67" t="str">
            <v>ບໍ່ມີ</v>
          </cell>
          <cell r="AB67">
            <v>43824</v>
          </cell>
          <cell r="AC67">
            <v>43824</v>
          </cell>
          <cell r="AE67">
            <v>45516</v>
          </cell>
          <cell r="AI67">
            <v>38771</v>
          </cell>
          <cell r="AL67" t="str">
            <v>ສະມາຊິກສໍາຮອງ</v>
          </cell>
          <cell r="AM67" t="str">
            <v>ວິຊາການ</v>
          </cell>
          <cell r="AN67" t="str">
            <v>ມ 6</v>
          </cell>
          <cell r="AO67" t="str">
            <v>ຫວຽດນາມ</v>
          </cell>
          <cell r="AW67" t="str">
            <v>ປທ</v>
          </cell>
          <cell r="AX67" t="str">
            <v>ຕ່າງປະເທດ</v>
          </cell>
          <cell r="AY67" t="str">
            <v>ການເງິນ-ການທະນາຄານ</v>
          </cell>
          <cell r="AZ67" t="str">
            <v>ກໍ່ສ້າງ</v>
          </cell>
          <cell r="BA67" t="str">
            <v>ສະຖາບັນການເງິນ ຮ່າໂນຍ</v>
          </cell>
          <cell r="BB67" t="str">
            <v>2 ປີ</v>
          </cell>
          <cell r="BC67" t="str">
            <v>2015 - 2017</v>
          </cell>
          <cell r="BJ67" t="str">
            <v>ວັນທອງ</v>
          </cell>
          <cell r="BK67" t="str">
            <v>ຕ</v>
          </cell>
          <cell r="BQ67" t="str">
            <v>ພອນ ພູມະນີວົງ</v>
          </cell>
          <cell r="BR67">
            <v>60</v>
          </cell>
          <cell r="BS67" t="str">
            <v>ປາກທ້າງ</v>
          </cell>
          <cell r="BT67" t="str">
            <v>ສີໂຄດຕະບອງ</v>
          </cell>
          <cell r="BU67" t="str">
            <v>ນະຄອນຫຼວງ</v>
          </cell>
          <cell r="BV67" t="str">
            <v>ພະນັກງານ ບໍານານ</v>
          </cell>
          <cell r="BX67" t="str">
            <v>ສຸດາພອນ ພູມີພົນ</v>
          </cell>
          <cell r="BY67">
            <v>33469</v>
          </cell>
          <cell r="BZ67" t="str">
            <v>ນາເລົ່າ</v>
          </cell>
          <cell r="CA67" t="str">
            <v>ສີໂຄດຕະບອງ</v>
          </cell>
          <cell r="CB67" t="str">
            <v>ນະຄອນຫຼວງ</v>
          </cell>
          <cell r="CC67" t="str">
            <v>ຕໍາຫຼວດ</v>
          </cell>
          <cell r="CD67" t="str">
            <v>ກົມກໍ່ສ້າງກໍາລັງ ປກສ</v>
          </cell>
          <cell r="CE67">
            <v>1</v>
          </cell>
          <cell r="CF67">
            <v>57892886</v>
          </cell>
          <cell r="CH67" t="str">
            <v>ສັນຕິບານ</v>
          </cell>
        </row>
        <row r="68">
          <cell r="G68" t="str">
            <v>ນ. ດວນ ສຸລິຍະສິດ</v>
          </cell>
          <cell r="H68" t="str">
            <v>ຮທ</v>
          </cell>
          <cell r="J68" t="str">
            <v>ຍິງ</v>
          </cell>
          <cell r="K68">
            <v>32071</v>
          </cell>
          <cell r="L68" t="str">
            <v>37 ປີ</v>
          </cell>
          <cell r="M68">
            <v>44165</v>
          </cell>
          <cell r="O68" t="str">
            <v>ນາກາວ</v>
          </cell>
          <cell r="P68" t="str">
            <v>ຊໍາເໜືອ</v>
          </cell>
          <cell r="Q68" t="str">
            <v>ຫົວພັນ</v>
          </cell>
          <cell r="R68" t="str">
            <v>ແສງສະຫວ່າງ</v>
          </cell>
          <cell r="S68" t="str">
            <v>ໄຊເສດຖາ</v>
          </cell>
          <cell r="T68" t="str">
            <v>ນະຄອນຫຼວງ</v>
          </cell>
          <cell r="X68" t="str">
            <v>ບໍ່ມີ</v>
          </cell>
          <cell r="Y68" t="str">
            <v>ລລ</v>
          </cell>
          <cell r="Z68" t="str">
            <v>ພຸດ</v>
          </cell>
          <cell r="AA68" t="str">
            <v>25607/ກພງ</v>
          </cell>
          <cell r="AB68">
            <v>41478</v>
          </cell>
          <cell r="AC68">
            <v>41478</v>
          </cell>
          <cell r="AE68">
            <v>45253</v>
          </cell>
          <cell r="AG68">
            <v>45706</v>
          </cell>
          <cell r="AI68">
            <v>38455</v>
          </cell>
          <cell r="AJ68">
            <v>37985</v>
          </cell>
          <cell r="AL68" t="str">
            <v>ສະມາຊິກສໍາຮອງ</v>
          </cell>
          <cell r="AM68" t="str">
            <v>ປຸງແຕ່ງ ອາຫານ</v>
          </cell>
          <cell r="AN68" t="str">
            <v>ມ 6</v>
          </cell>
          <cell r="AP68" t="str">
            <v>ຊກ</v>
          </cell>
          <cell r="AR68" t="str">
            <v>ອາຫານ-ການໂຮງແຮມ</v>
          </cell>
          <cell r="AS68" t="str">
            <v>ກໍ່ສ້າງ</v>
          </cell>
          <cell r="AT68" t="str">
            <v>ວິທະຍາໄລເຕັກນິກແຂວງວຽງຈັນ</v>
          </cell>
          <cell r="AU68" t="str">
            <v>2 ປີ</v>
          </cell>
          <cell r="AV68" t="str">
            <v>2009 - 2011</v>
          </cell>
          <cell r="BJ68" t="str">
            <v>ຈັນທອນ</v>
          </cell>
          <cell r="BK68" t="str">
            <v>ຕ</v>
          </cell>
          <cell r="BQ68" t="str">
            <v>ຈັນສີ</v>
          </cell>
          <cell r="BR68" t="str">
            <v>ຕ</v>
          </cell>
          <cell r="BX68" t="str">
            <v>ເຈ ຜາລີພອນ</v>
          </cell>
          <cell r="BY68">
            <v>32089</v>
          </cell>
          <cell r="BZ68" t="str">
            <v>ແສງສະຫວ່າງ</v>
          </cell>
          <cell r="CA68" t="str">
            <v>ໄຊເສດຖາ</v>
          </cell>
          <cell r="CB68" t="str">
            <v>ນະຄອນຫຼວງ</v>
          </cell>
          <cell r="CC68" t="str">
            <v>ຄ້າຂາຍ</v>
          </cell>
          <cell r="CE68">
            <v>2</v>
          </cell>
          <cell r="CF68">
            <v>96131613</v>
          </cell>
          <cell r="CH68" t="str">
            <v>ປົກຄອງ</v>
          </cell>
        </row>
        <row r="69">
          <cell r="G69" t="str">
            <v>ທ. ຈັນສະໝອນ ຈັນທະລາພອນ</v>
          </cell>
          <cell r="H69" t="str">
            <v>ຮທ</v>
          </cell>
          <cell r="J69" t="str">
            <v>ຊາຍ</v>
          </cell>
          <cell r="K69">
            <v>33196</v>
          </cell>
          <cell r="L69" t="str">
            <v>34 ປີ</v>
          </cell>
          <cell r="M69">
            <v>45741</v>
          </cell>
          <cell r="N69" t="str">
            <v>1507/ກມປສ</v>
          </cell>
          <cell r="O69" t="str">
            <v>ຢອນ</v>
          </cell>
          <cell r="P69" t="str">
            <v>ແປກ</v>
          </cell>
          <cell r="Q69" t="str">
            <v>ຊຽງຂວາງ</v>
          </cell>
          <cell r="R69" t="str">
            <v>ອີ່ໄລໃຕ້</v>
          </cell>
          <cell r="S69" t="str">
            <v>ນາຊາຍທອງ</v>
          </cell>
          <cell r="T69" t="str">
            <v>ນະຄອນຫຼວງ</v>
          </cell>
          <cell r="X69" t="str">
            <v>09-22006135</v>
          </cell>
          <cell r="Y69" t="str">
            <v>ລລ</v>
          </cell>
          <cell r="Z69" t="str">
            <v>ພຸດ</v>
          </cell>
          <cell r="AA69" t="str">
            <v>35632/ກພງ</v>
          </cell>
          <cell r="AB69">
            <v>43824</v>
          </cell>
          <cell r="AC69">
            <v>43824</v>
          </cell>
          <cell r="AE69">
            <v>45443</v>
          </cell>
          <cell r="AI69">
            <v>38125</v>
          </cell>
          <cell r="AL69" t="str">
            <v>ສະມາຊິກສໍາຮອງ</v>
          </cell>
          <cell r="AM69" t="str">
            <v>ວິຊາການ</v>
          </cell>
          <cell r="AN69" t="str">
            <v>ມ 6</v>
          </cell>
          <cell r="AO69" t="str">
            <v>ມົງໂກລີ</v>
          </cell>
          <cell r="AP69" t="str">
            <v>ປຕ</v>
          </cell>
          <cell r="AQ69" t="str">
            <v>ຕ່າງປະເທດ</v>
          </cell>
          <cell r="AR69" t="str">
            <v>ສັດຕະວະແພດ</v>
          </cell>
          <cell r="AS69" t="str">
            <v>ກໍ່ສ້າງ</v>
          </cell>
          <cell r="AT69" t="str">
            <v>ມະຫາໄລກະເສດສາດປະເທດມົງໂກລີ</v>
          </cell>
          <cell r="AU69" t="str">
            <v>5 ປີ</v>
          </cell>
          <cell r="AV69" t="str">
            <v>2012 - 2016</v>
          </cell>
          <cell r="BJ69" t="str">
            <v>ຄໍາສິງ ຈັນທະລາພອນ</v>
          </cell>
          <cell r="BK69">
            <v>60</v>
          </cell>
          <cell r="BL69" t="str">
            <v>ຢອນ</v>
          </cell>
          <cell r="BM69" t="str">
            <v>ແປກ</v>
          </cell>
          <cell r="BN69" t="str">
            <v>ຊຽງຂວາງ</v>
          </cell>
          <cell r="BO69" t="str">
            <v>ປະຊາຊົນ</v>
          </cell>
          <cell r="BQ69" t="str">
            <v>ສີລາວັນ ຈັນທະລາພອນ</v>
          </cell>
          <cell r="BR69">
            <v>61</v>
          </cell>
          <cell r="BS69" t="str">
            <v>ຢອນ</v>
          </cell>
          <cell r="BT69" t="str">
            <v>ແປກ</v>
          </cell>
          <cell r="BU69" t="str">
            <v>ຊຽງຂວາງ</v>
          </cell>
          <cell r="BV69" t="str">
            <v>ພະນັກງານ ບໍານານ</v>
          </cell>
          <cell r="BW69" t="str">
            <v>ພະແນກກະສິກໍາ ແລະ ປ່າໄມ້ ແຂວງຊຽງຂວາງ</v>
          </cell>
          <cell r="BX69" t="str">
            <v>ພູທອນ ແກ້ວຖາວົງ</v>
          </cell>
          <cell r="BY69">
            <v>35646</v>
          </cell>
          <cell r="BZ69" t="str">
            <v>ອີ່ໄລໃຕ້</v>
          </cell>
          <cell r="CA69" t="str">
            <v>ນາຊາຍທອງ</v>
          </cell>
          <cell r="CB69" t="str">
            <v>ນະຄອນຫຼວງ</v>
          </cell>
          <cell r="CC69" t="str">
            <v>ປະຊາຊົນ</v>
          </cell>
          <cell r="CE69">
            <v>1</v>
          </cell>
          <cell r="CF69">
            <v>59750555</v>
          </cell>
          <cell r="CH69" t="str">
            <v>ປກສ</v>
          </cell>
        </row>
        <row r="70">
          <cell r="G70" t="str">
            <v>ນ. ສອນປະດິດ  ຈັນພະຍາ</v>
          </cell>
          <cell r="H70" t="str">
            <v>ຮທ</v>
          </cell>
          <cell r="J70" t="str">
            <v>ຍິງ</v>
          </cell>
          <cell r="K70">
            <v>35427</v>
          </cell>
          <cell r="L70" t="str">
            <v>28 ປີ</v>
          </cell>
          <cell r="M70">
            <v>45741</v>
          </cell>
          <cell r="N70" t="str">
            <v>1507/ກມປສ</v>
          </cell>
          <cell r="O70" t="str">
            <v>ນາຫວາຍ</v>
          </cell>
          <cell r="P70" t="str">
            <v>ບຸນໃຕ້</v>
          </cell>
          <cell r="Q70" t="str">
            <v>ຜົ້ງສາລີ</v>
          </cell>
          <cell r="R70" t="str">
            <v>ພະຂາວ</v>
          </cell>
          <cell r="S70" t="str">
            <v>ໄຊທານີ</v>
          </cell>
          <cell r="T70" t="str">
            <v>ນະຄອນຫຼວງ</v>
          </cell>
          <cell r="U70" t="str">
            <v>419</v>
          </cell>
          <cell r="V70" t="str">
            <v>ໄກສອນ</v>
          </cell>
          <cell r="X70" t="str">
            <v>ກ1-23000367</v>
          </cell>
          <cell r="Y70" t="str">
            <v>ລື້</v>
          </cell>
          <cell r="Z70" t="str">
            <v>ພຸດ</v>
          </cell>
          <cell r="AA70" t="str">
            <v>ບໍ່ມີ</v>
          </cell>
          <cell r="AB70">
            <v>43824</v>
          </cell>
          <cell r="AC70">
            <v>43824</v>
          </cell>
          <cell r="AE70">
            <v>45602</v>
          </cell>
          <cell r="AI70">
            <v>41227</v>
          </cell>
          <cell r="AJ70">
            <v>41285</v>
          </cell>
          <cell r="AK70">
            <v>42858</v>
          </cell>
          <cell r="AL70" t="str">
            <v>ສະມາຊິກສໍາຮອງ</v>
          </cell>
          <cell r="AM70" t="str">
            <v>ວິຊາການ</v>
          </cell>
          <cell r="AN70" t="str">
            <v>ມ 7</v>
          </cell>
          <cell r="AP70" t="str">
            <v>ປຕ</v>
          </cell>
          <cell r="AR70" t="str">
            <v>ຄະນິດສາດທົ່ວໄປ</v>
          </cell>
          <cell r="AS70" t="str">
            <v>ກໍ່ສ້າງ</v>
          </cell>
          <cell r="AT70" t="str">
            <v>ມະຫາວິທະຍາໄລແຫ່ງຊາດ</v>
          </cell>
          <cell r="AU70" t="str">
            <v>4 ປີ</v>
          </cell>
          <cell r="AV70" t="str">
            <v>2017 - 2020</v>
          </cell>
          <cell r="BJ70" t="str">
            <v>ບຸນປິງ ຈັນພະຍາ</v>
          </cell>
          <cell r="BK70">
            <v>57</v>
          </cell>
          <cell r="BL70" t="str">
            <v>ນາຫວາຍ</v>
          </cell>
          <cell r="BM70" t="str">
            <v>ບຸນໃຕ້</v>
          </cell>
          <cell r="BN70" t="str">
            <v>ຜົ້ງສາລີ</v>
          </cell>
          <cell r="BO70" t="str">
            <v>ປະຊາຊົນ</v>
          </cell>
          <cell r="BQ70" t="str">
            <v>ຄໍາແຍງ ຈັນພະຍາ</v>
          </cell>
          <cell r="BR70">
            <v>54</v>
          </cell>
          <cell r="BS70" t="str">
            <v>ນາຫວາຍ</v>
          </cell>
          <cell r="BT70" t="str">
            <v>ບຸນໃຕ້</v>
          </cell>
          <cell r="BU70" t="str">
            <v>ຜົ້ງສາລີ</v>
          </cell>
          <cell r="BV70" t="str">
            <v>ປະຊາຊົນ</v>
          </cell>
          <cell r="CF70">
            <v>59326289</v>
          </cell>
          <cell r="CH70" t="str">
            <v>ປົກຄອງ</v>
          </cell>
        </row>
        <row r="71">
          <cell r="G71" t="str">
            <v>ນ. ສຸດາລັດ ຜ່ອນແລວົງ</v>
          </cell>
          <cell r="H71" t="str">
            <v>ຮທ</v>
          </cell>
          <cell r="I71" t="str">
            <v>ຕ້າ</v>
          </cell>
          <cell r="J71" t="str">
            <v>ຍິງ</v>
          </cell>
          <cell r="K71">
            <v>33657</v>
          </cell>
          <cell r="L71" t="str">
            <v>33 ປີ</v>
          </cell>
          <cell r="M71">
            <v>45741</v>
          </cell>
          <cell r="N71" t="str">
            <v>1507/ກມປສ</v>
          </cell>
          <cell r="O71" t="str">
            <v>ທ່າມ່ວງ</v>
          </cell>
          <cell r="P71" t="str">
            <v>ຈໍາພອນ</v>
          </cell>
          <cell r="Q71" t="str">
            <v>ສະຫວັນນະເຂດ</v>
          </cell>
          <cell r="R71" t="str">
            <v>ໂນນສະຫວ່າງ</v>
          </cell>
          <cell r="S71" t="str">
            <v>ໄຊເສດຖາ</v>
          </cell>
          <cell r="T71" t="str">
            <v>ນະຄອນຫຼວງ</v>
          </cell>
          <cell r="X71" t="str">
            <v>13-0243439</v>
          </cell>
          <cell r="Y71" t="str">
            <v>ລລ</v>
          </cell>
          <cell r="Z71" t="str">
            <v>ພຸດ</v>
          </cell>
          <cell r="AA71" t="str">
            <v>ບໍ່ມີ</v>
          </cell>
          <cell r="AB71">
            <v>43824</v>
          </cell>
          <cell r="AC71">
            <v>43824</v>
          </cell>
          <cell r="AE71">
            <v>45706</v>
          </cell>
          <cell r="AI71">
            <v>39887</v>
          </cell>
          <cell r="AJ71">
            <v>40633</v>
          </cell>
          <cell r="AK71">
            <v>42747</v>
          </cell>
          <cell r="AM71" t="str">
            <v>ວິຊາການ</v>
          </cell>
          <cell r="AN71" t="str">
            <v>ມ 7</v>
          </cell>
          <cell r="AP71" t="str">
            <v>ປຕ</v>
          </cell>
          <cell r="AR71" t="str">
            <v>ວິທະຍາສາດທໍາມະຊາດ</v>
          </cell>
          <cell r="AS71" t="str">
            <v>ກໍ່ສ້າງ</v>
          </cell>
          <cell r="AT71" t="str">
            <v>ວິທະຍາໄລ ຄູສະຫວັນນະເຂດ</v>
          </cell>
          <cell r="AU71" t="str">
            <v>4 ປີ</v>
          </cell>
          <cell r="AV71" t="str">
            <v>2014 - 2017</v>
          </cell>
          <cell r="BJ71" t="str">
            <v>ພູນສະຫວັດ</v>
          </cell>
          <cell r="BK71">
            <v>58</v>
          </cell>
          <cell r="BL71" t="str">
            <v>ຊະຄືນ</v>
          </cell>
          <cell r="BM71" t="str">
            <v>ຈໍາພອນ</v>
          </cell>
          <cell r="BN71" t="str">
            <v>ສະຫວັນນະເຂດ</v>
          </cell>
          <cell r="BO71" t="str">
            <v>ພະນັກງານ</v>
          </cell>
          <cell r="BP71" t="str">
            <v>ໂຮງຮຽນມັດທະຍົມຕອນຕົ້ນດົງເມືອງ</v>
          </cell>
          <cell r="BQ71" t="str">
            <v>ຕ</v>
          </cell>
          <cell r="BX71" t="str">
            <v>ແສງສຸລີຍາ ຄໍາພູວົງ</v>
          </cell>
          <cell r="BY71">
            <v>34673</v>
          </cell>
          <cell r="BZ71" t="str">
            <v>ນາສ້ຽວ</v>
          </cell>
          <cell r="CA71" t="str">
            <v>ນາຊາຍທອງ</v>
          </cell>
          <cell r="CB71" t="str">
            <v>ນະຄອນຫຼວງ</v>
          </cell>
          <cell r="CC71" t="str">
            <v>ພະນັກງານ</v>
          </cell>
          <cell r="CD71" t="str">
            <v>ໂຮງງານສ້ອມແປງສື່ສານ 209</v>
          </cell>
          <cell r="CE71">
            <v>0</v>
          </cell>
          <cell r="CF71">
            <v>93799661</v>
          </cell>
          <cell r="CH71" t="str">
            <v>ປົກຄອງ</v>
          </cell>
        </row>
        <row r="72">
          <cell r="G72" t="str">
            <v>ທ. ວຽງສະຫວັນ ຂຸນສະທອນ</v>
          </cell>
          <cell r="H72" t="str">
            <v>ຮທ</v>
          </cell>
          <cell r="I72" t="str">
            <v>ວຽງ</v>
          </cell>
          <cell r="J72" t="str">
            <v>ຊາຍ</v>
          </cell>
          <cell r="K72">
            <v>30076</v>
          </cell>
          <cell r="L72" t="str">
            <v>43 ປີ</v>
          </cell>
          <cell r="M72">
            <v>42151</v>
          </cell>
          <cell r="O72" t="str">
            <v>ໂຊກນ້ອຍ</v>
          </cell>
          <cell r="P72" t="str">
            <v>ໄຊເສດຖາ</v>
          </cell>
          <cell r="Q72" t="str">
            <v>ນະຄອນຫຼວງ</v>
          </cell>
          <cell r="R72" t="str">
            <v>ໂຊກນ້ອຍ</v>
          </cell>
          <cell r="S72" t="str">
            <v>ໄຊເສດຖາ</v>
          </cell>
          <cell r="T72" t="str">
            <v>ນະຄອນຫຼວງ</v>
          </cell>
          <cell r="U72" t="str">
            <v>054</v>
          </cell>
          <cell r="V72" t="str">
            <v>ຊໍາເຄ້</v>
          </cell>
          <cell r="W72" t="str">
            <v>02</v>
          </cell>
          <cell r="X72" t="str">
            <v>ບໍ່ມີ</v>
          </cell>
          <cell r="Y72" t="str">
            <v>ລລ</v>
          </cell>
          <cell r="Z72" t="str">
            <v>ພຸດ</v>
          </cell>
          <cell r="AA72" t="str">
            <v>ບໍ່ມີ</v>
          </cell>
          <cell r="AB72">
            <v>39408</v>
          </cell>
          <cell r="AC72">
            <v>39408</v>
          </cell>
          <cell r="AI72">
            <v>38099</v>
          </cell>
          <cell r="AM72" t="str">
            <v>ວິຊາການ</v>
          </cell>
          <cell r="AN72" t="str">
            <v>ມ 6</v>
          </cell>
          <cell r="AP72" t="str">
            <v>ປຕ</v>
          </cell>
          <cell r="AQ72" t="str">
            <v>ພາຍໃນ</v>
          </cell>
          <cell r="AR72" t="str">
            <v>ອຸປະໂພກ-ບໍລິໂພກ</v>
          </cell>
          <cell r="AS72" t="str">
            <v>ກໍ່ສ້າງ</v>
          </cell>
          <cell r="AT72" t="str">
            <v>ວິທະຍາຄານ ນາຍທະຫານບົກ ກົມມະດໍາ</v>
          </cell>
          <cell r="AU72" t="str">
            <v>04 ປີ</v>
          </cell>
          <cell r="AV72" t="str">
            <v>2011 - 2015</v>
          </cell>
          <cell r="AW72" t="str">
            <v>ຊກ</v>
          </cell>
          <cell r="AX72" t="str">
            <v>ພາຍໃນ</v>
          </cell>
          <cell r="AY72" t="str">
            <v>ການເງິນ</v>
          </cell>
          <cell r="AZ72" t="str">
            <v>ກໍ່ສ້າງ</v>
          </cell>
          <cell r="BA72" t="str">
            <v>ດົງຄໍາຊ້າງ</v>
          </cell>
          <cell r="BB72" t="str">
            <v>3 ປີ</v>
          </cell>
          <cell r="BC72" t="str">
            <v>2003 - 2006</v>
          </cell>
          <cell r="BJ72" t="str">
            <v>ວັນນີ</v>
          </cell>
          <cell r="BK72">
            <v>70</v>
          </cell>
          <cell r="BL72" t="str">
            <v>ໂຊກນ້ອຍ</v>
          </cell>
          <cell r="BM72" t="str">
            <v>ໄຊເສດຖາ</v>
          </cell>
          <cell r="BN72" t="str">
            <v>ນະຄອນຫຼວງ</v>
          </cell>
          <cell r="BO72" t="str">
            <v>ປະຊາຊົນ</v>
          </cell>
          <cell r="BQ72" t="str">
            <v>ກົງຄໍາ</v>
          </cell>
          <cell r="BR72">
            <v>65</v>
          </cell>
          <cell r="BS72" t="str">
            <v>ໂຊກນ້ອຍ</v>
          </cell>
          <cell r="BT72" t="str">
            <v>ໄຊເສດຖາ</v>
          </cell>
          <cell r="BU72" t="str">
            <v>ນະຄອນຫຼວງ</v>
          </cell>
          <cell r="BV72" t="str">
            <v>ປະຊາຊົນ</v>
          </cell>
          <cell r="BX72" t="str">
            <v>ພອນແກ້ວ</v>
          </cell>
          <cell r="BY72">
            <v>31475</v>
          </cell>
          <cell r="BZ72" t="str">
            <v>ໂຊກນ້ອຍ</v>
          </cell>
          <cell r="CA72" t="str">
            <v>ໄຊເສດຖາ</v>
          </cell>
          <cell r="CB72" t="str">
            <v>ນະຄອນຫຼວງ</v>
          </cell>
          <cell r="CC72" t="str">
            <v>ປະຊາຊົນ</v>
          </cell>
          <cell r="CE72">
            <v>1</v>
          </cell>
          <cell r="CH72" t="str">
            <v>ປົກຄອງ</v>
          </cell>
        </row>
        <row r="73">
          <cell r="G73" t="str">
            <v>ທ. ພົມວິຫານ ແສງດາລາ</v>
          </cell>
          <cell r="H73" t="str">
            <v>ຮຕ</v>
          </cell>
          <cell r="I73" t="str">
            <v>ຫານ</v>
          </cell>
          <cell r="J73" t="str">
            <v>ຊາຍ</v>
          </cell>
          <cell r="K73">
            <v>33826</v>
          </cell>
          <cell r="L73" t="str">
            <v>32 ປີ</v>
          </cell>
          <cell r="M73">
            <v>44792</v>
          </cell>
          <cell r="O73" t="str">
            <v>ຜາຊ້າງ</v>
          </cell>
          <cell r="P73" t="str">
            <v>ຄູນຄໍາ</v>
          </cell>
          <cell r="Q73" t="str">
            <v>ຄໍາມ່ວນ</v>
          </cell>
          <cell r="R73" t="str">
            <v>ນາສ້າງໃຜ້</v>
          </cell>
          <cell r="S73" t="str">
            <v>ໄຊເສດຖາ</v>
          </cell>
          <cell r="T73" t="str">
            <v>ນະຄອນຫຼວງ</v>
          </cell>
          <cell r="U73" t="str">
            <v>467</v>
          </cell>
          <cell r="V73" t="str">
            <v>ຂາມງອຍ</v>
          </cell>
          <cell r="W73" t="str">
            <v>01</v>
          </cell>
          <cell r="X73" t="str">
            <v>ບໍ່ໄດ້ໃຊ້</v>
          </cell>
          <cell r="Y73" t="str">
            <v>ລລ</v>
          </cell>
          <cell r="Z73" t="str">
            <v>ພຸດ</v>
          </cell>
          <cell r="AA73" t="str">
            <v>36918/ກພງ</v>
          </cell>
          <cell r="AB73">
            <v>43082</v>
          </cell>
          <cell r="AC73">
            <v>43082</v>
          </cell>
          <cell r="AE73">
            <v>44624</v>
          </cell>
          <cell r="AG73">
            <v>45131</v>
          </cell>
          <cell r="AI73">
            <v>39527</v>
          </cell>
          <cell r="AL73" t="str">
            <v>ສະມາຊິກ</v>
          </cell>
          <cell r="AM73" t="str">
            <v>ວິຊາການ</v>
          </cell>
          <cell r="AN73" t="str">
            <v>ມ 7</v>
          </cell>
          <cell r="AP73" t="str">
            <v>ຊສ</v>
          </cell>
          <cell r="AQ73" t="str">
            <v>ພາຍໃນ</v>
          </cell>
          <cell r="AR73" t="str">
            <v>ສະກັດກັ້ນ ແລະ ຕ້ານຢາເສບຕິດ</v>
          </cell>
          <cell r="AS73" t="str">
            <v>ກໍ່ສ້າງ</v>
          </cell>
          <cell r="AT73" t="str">
            <v>ປກສ ຊັ້ນສູງ ເລກI ແຂວງ ອຸດົມໄຊ</v>
          </cell>
          <cell r="AU73" t="str">
            <v>2 ປີ</v>
          </cell>
          <cell r="AV73" t="str">
            <v>2020 - 2022</v>
          </cell>
          <cell r="BJ73" t="str">
            <v>ຄໍາປະເສີດ ແສງດາລາ</v>
          </cell>
          <cell r="BK73">
            <v>68</v>
          </cell>
          <cell r="BL73" t="str">
            <v>ຜາຊ້າງ</v>
          </cell>
          <cell r="BM73" t="str">
            <v>ຄູນຄໍາ</v>
          </cell>
          <cell r="BN73" t="str">
            <v>ຄໍາມ່ວນ</v>
          </cell>
          <cell r="BO73" t="str">
            <v>ປະຊາຊົນ</v>
          </cell>
          <cell r="BQ73" t="str">
            <v>ຈອມມະນີ ສຸວັນນະລາດ</v>
          </cell>
          <cell r="BR73">
            <v>65</v>
          </cell>
          <cell r="BS73" t="str">
            <v>ຜາຊ້າງ</v>
          </cell>
          <cell r="BT73" t="str">
            <v>ຄູນຄໍາ</v>
          </cell>
          <cell r="BU73" t="str">
            <v>ຄໍາມ່ວນ</v>
          </cell>
          <cell r="BV73" t="str">
            <v>ປະຊາຊົນ</v>
          </cell>
          <cell r="BX73" t="str">
            <v>ຈິນດາລັດ ສຸວັນນະ</v>
          </cell>
          <cell r="BY73">
            <v>36554</v>
          </cell>
          <cell r="BZ73" t="str">
            <v>ນາສ້າງໃຜ້</v>
          </cell>
          <cell r="CA73" t="str">
            <v>ໄຊເສດຖາ</v>
          </cell>
          <cell r="CB73" t="str">
            <v>ນະຄອນຫຼວງ</v>
          </cell>
          <cell r="CC73" t="str">
            <v>ປະຊາຊົນ</v>
          </cell>
          <cell r="CE73">
            <v>1</v>
          </cell>
          <cell r="CF73">
            <v>56222062</v>
          </cell>
          <cell r="CH73" t="str">
            <v>ປົກຄອງ</v>
          </cell>
        </row>
        <row r="74">
          <cell r="G74" t="str">
            <v>ທ. ວິໃນ ນວນສັກສີ</v>
          </cell>
          <cell r="H74" t="str">
            <v>ຮຕ</v>
          </cell>
          <cell r="J74" t="str">
            <v>ຊາຍ</v>
          </cell>
          <cell r="K74">
            <v>36334</v>
          </cell>
          <cell r="L74" t="str">
            <v>25 ປີ</v>
          </cell>
          <cell r="M74">
            <v>45526</v>
          </cell>
          <cell r="O74" t="str">
            <v>ດົງຍາງ</v>
          </cell>
          <cell r="P74" t="str">
            <v>ໂພນທອງ</v>
          </cell>
          <cell r="Q74" t="str">
            <v>ຈໍາປາສັກ</v>
          </cell>
          <cell r="R74" t="str">
            <v>ໂນນສະຫງ່າ</v>
          </cell>
          <cell r="S74" t="str">
            <v>ໄຊເສດຖາ</v>
          </cell>
          <cell r="T74" t="str">
            <v>ນະຄອນຫຼວງ</v>
          </cell>
          <cell r="X74" t="str">
            <v>ບໍ່ມີ</v>
          </cell>
          <cell r="Y74" t="str">
            <v>ລລ</v>
          </cell>
          <cell r="Z74" t="str">
            <v>ພຸດ</v>
          </cell>
          <cell r="AA74" t="str">
            <v>ບໍ່ມີ</v>
          </cell>
          <cell r="AB74">
            <v>43444</v>
          </cell>
          <cell r="AC74">
            <v>43444</v>
          </cell>
          <cell r="AE74">
            <v>45140</v>
          </cell>
          <cell r="AI74">
            <v>42328</v>
          </cell>
          <cell r="AL74" t="str">
            <v>ສະມາຊິກສໍາຮອງ</v>
          </cell>
          <cell r="AM74" t="str">
            <v>ວິຊາການ</v>
          </cell>
          <cell r="AN74" t="str">
            <v>ມ 7</v>
          </cell>
          <cell r="AP74" t="str">
            <v>ຊສ</v>
          </cell>
          <cell r="AQ74" t="str">
            <v>ພາຍໃນ</v>
          </cell>
          <cell r="AR74" t="str">
            <v>ຄຸ້ມຄອງລັດ</v>
          </cell>
          <cell r="AS74" t="str">
            <v>ກໍ່ສ້າງ</v>
          </cell>
          <cell r="AT74" t="str">
            <v>ວິທະຍາໄລ ສັນຕິບານ ປະຊາຊົນ ເລກ2</v>
          </cell>
          <cell r="AU74" t="str">
            <v>2 ປີ</v>
          </cell>
          <cell r="AV74" t="str">
            <v>2022 - 2024</v>
          </cell>
          <cell r="BJ74" t="str">
            <v>ໄຫຼ</v>
          </cell>
          <cell r="BK74" t="str">
            <v>ຕ</v>
          </cell>
          <cell r="BQ74" t="str">
            <v>ແສງ</v>
          </cell>
          <cell r="BR74" t="str">
            <v>ຕ</v>
          </cell>
          <cell r="CF74">
            <v>56744689</v>
          </cell>
          <cell r="CH74" t="str">
            <v>ສັນຕິບານ</v>
          </cell>
          <cell r="CI74">
            <v>45541</v>
          </cell>
          <cell r="CJ74" t="str">
            <v>636/ຫກມ</v>
          </cell>
        </row>
        <row r="75">
          <cell r="G75" t="str">
            <v>ນ. ປືເຕາະ ແພງປັນຍາ</v>
          </cell>
          <cell r="H75" t="str">
            <v>ຮຕ</v>
          </cell>
          <cell r="I75" t="str">
            <v>ເຕາະ</v>
          </cell>
          <cell r="J75" t="str">
            <v>ຍິງ</v>
          </cell>
          <cell r="K75">
            <v>37076</v>
          </cell>
          <cell r="L75" t="str">
            <v>23 ປີ</v>
          </cell>
          <cell r="M75">
            <v>45168</v>
          </cell>
          <cell r="O75" t="str">
            <v>ໂພນສະຫວ່າງ</v>
          </cell>
          <cell r="P75" t="str">
            <v>ເມິງ</v>
          </cell>
          <cell r="Q75" t="str">
            <v>ບໍ່ແກ້ວ</v>
          </cell>
          <cell r="R75" t="str">
            <v>ນາໄຊ</v>
          </cell>
          <cell r="S75" t="str">
            <v>ໄຊເສດຖາ</v>
          </cell>
          <cell r="T75" t="str">
            <v>ນະຄອນຫຼວງ</v>
          </cell>
          <cell r="U75">
            <v>31</v>
          </cell>
          <cell r="X75" t="str">
            <v>05-23011971</v>
          </cell>
          <cell r="Y75" t="str">
            <v>ອາຄາ</v>
          </cell>
          <cell r="Z75" t="str">
            <v>ຜີ</v>
          </cell>
          <cell r="AA75" t="str">
            <v>ກໍາລັງເຮັດບັດ</v>
          </cell>
          <cell r="AB75">
            <v>43749</v>
          </cell>
          <cell r="AC75">
            <v>43749</v>
          </cell>
          <cell r="AE75">
            <v>45483</v>
          </cell>
          <cell r="AI75">
            <v>42852</v>
          </cell>
          <cell r="AJ75">
            <v>43257</v>
          </cell>
          <cell r="AL75" t="str">
            <v>ສະມາຊິກສໍາຮອງ</v>
          </cell>
          <cell r="AM75" t="str">
            <v>ວິຊາການ</v>
          </cell>
          <cell r="AN75" t="str">
            <v>ມ 7</v>
          </cell>
          <cell r="AP75" t="str">
            <v>ຊສ</v>
          </cell>
          <cell r="AQ75" t="str">
            <v>ພາຍໃນ</v>
          </cell>
          <cell r="AR75" t="str">
            <v>ຈະລາຈອນ</v>
          </cell>
          <cell r="AS75" t="str">
            <v>ກໍ່ສ້າງ</v>
          </cell>
          <cell r="AT75" t="str">
            <v>ປກສ ຊັ້ນສູງ ເລກIII</v>
          </cell>
          <cell r="AU75" t="str">
            <v>2 ປີ</v>
          </cell>
          <cell r="AV75" t="str">
            <v>2021 - 2023</v>
          </cell>
          <cell r="BJ75" t="str">
            <v>ພູແມ ແລຍະ</v>
          </cell>
          <cell r="BK75">
            <v>60</v>
          </cell>
          <cell r="BL75" t="str">
            <v>ໂພນສະຫວ່າງ</v>
          </cell>
          <cell r="BM75" t="str">
            <v>ເມິງ</v>
          </cell>
          <cell r="BN75" t="str">
            <v>ບໍ່ແກ້ວ</v>
          </cell>
          <cell r="BO75" t="str">
            <v>ປະຊາຊົນ</v>
          </cell>
          <cell r="BP75" t="str">
            <v>ໂພນສະຫວ່າງ</v>
          </cell>
          <cell r="BQ75" t="str">
            <v>ອານຸ ແລນີ</v>
          </cell>
          <cell r="BR75">
            <v>59</v>
          </cell>
          <cell r="BS75" t="str">
            <v>ໂພນສະຫວ່າງ</v>
          </cell>
          <cell r="BT75" t="str">
            <v>ເມິງ</v>
          </cell>
          <cell r="BU75" t="str">
            <v>ບໍ່ແກ້ວ</v>
          </cell>
          <cell r="BV75" t="str">
            <v>ປະຊາຊົນ</v>
          </cell>
          <cell r="BW75" t="str">
            <v>ໂພນສະຫວ່າງ</v>
          </cell>
          <cell r="BX75" t="str">
            <v>ທ. ບູລາ ທໍາມະວົງ</v>
          </cell>
          <cell r="BY75">
            <v>32371</v>
          </cell>
          <cell r="BZ75" t="str">
            <v>ນໍ້າແຈ້ງ</v>
          </cell>
          <cell r="CA75" t="str">
            <v>ໂພນໂຮງ</v>
          </cell>
          <cell r="CB75" t="str">
            <v>ວຽງຈັນ</v>
          </cell>
          <cell r="CC75" t="str">
            <v>ຕໍາຫຼວດ</v>
          </cell>
          <cell r="CD75" t="str">
            <v>ຮຮ ວັດທະນະທໍາ ຫຼັກ67</v>
          </cell>
          <cell r="CE75">
            <v>0</v>
          </cell>
          <cell r="CF75">
            <v>96119446</v>
          </cell>
          <cell r="CH75" t="str">
            <v>ຕໍາຫຼວດ</v>
          </cell>
        </row>
        <row r="76">
          <cell r="G76" t="str">
            <v>ທ. ສ້ຽວປໍ້ ລ່ຽມດວງພະຈັນ</v>
          </cell>
          <cell r="H76" t="str">
            <v>ຮຕ</v>
          </cell>
          <cell r="I76" t="str">
            <v>ປໍ້</v>
          </cell>
          <cell r="J76" t="str">
            <v>ຊາຍ</v>
          </cell>
          <cell r="K76">
            <v>33546</v>
          </cell>
          <cell r="L76" t="str">
            <v>33 ປີ</v>
          </cell>
          <cell r="M76">
            <v>45499</v>
          </cell>
          <cell r="O76" t="str">
            <v>ຖິ່ນແກ້ວ</v>
          </cell>
          <cell r="P76" t="str">
            <v>ແກ້ວອຸດົມ</v>
          </cell>
          <cell r="Q76" t="str">
            <v>ວຽງຈັນ</v>
          </cell>
          <cell r="R76" t="str">
            <v>ຖິ່ນແກ້ວ</v>
          </cell>
          <cell r="S76" t="str">
            <v>ແກ້ວອຸດົມ</v>
          </cell>
          <cell r="T76" t="str">
            <v>ວຽງຈັນ</v>
          </cell>
          <cell r="U76" t="str">
            <v>126</v>
          </cell>
          <cell r="V76">
            <v>13</v>
          </cell>
          <cell r="W76" t="str">
            <v>11</v>
          </cell>
          <cell r="X76" t="str">
            <v>10-0134491</v>
          </cell>
          <cell r="Y76" t="str">
            <v>ລລ</v>
          </cell>
          <cell r="Z76" t="str">
            <v>ພຸດ</v>
          </cell>
          <cell r="AA76" t="str">
            <v>ບໍ່ມີ</v>
          </cell>
          <cell r="AB76">
            <v>43824</v>
          </cell>
          <cell r="AC76">
            <v>43824</v>
          </cell>
          <cell r="AE76">
            <v>45783</v>
          </cell>
          <cell r="AF76" t="str">
            <v>207/ຄພ-ກມປສ</v>
          </cell>
          <cell r="AI76">
            <v>41978</v>
          </cell>
          <cell r="AK76">
            <v>42791</v>
          </cell>
          <cell r="AL76" t="str">
            <v>ສະມາຊິກສໍາຮອງ</v>
          </cell>
          <cell r="AM76" t="str">
            <v>ວິຊາການ</v>
          </cell>
          <cell r="AN76" t="str">
            <v>ມ 6</v>
          </cell>
          <cell r="AP76" t="str">
            <v>ຊສ</v>
          </cell>
          <cell r="AQ76" t="str">
            <v>ພາຍໃນ</v>
          </cell>
          <cell r="AR76">
            <v>203</v>
          </cell>
          <cell r="AS76" t="str">
            <v>ກໍ່ສ້າງ</v>
          </cell>
          <cell r="AT76" t="str">
            <v>ວິທະຍາໄລ ສັນຕິບານ ປະຊາຊົນເລກ2</v>
          </cell>
          <cell r="AU76" t="str">
            <v>2 ປີ</v>
          </cell>
          <cell r="AV76" t="str">
            <v>2022 - 2024</v>
          </cell>
          <cell r="BJ76" t="str">
            <v>ເຊັ່ງໃຫຍ່</v>
          </cell>
          <cell r="BK76">
            <v>74</v>
          </cell>
          <cell r="BL76" t="str">
            <v>ຖິ່ນແກ້ວ</v>
          </cell>
          <cell r="BM76" t="str">
            <v>ແກ້ວອຸດົມ</v>
          </cell>
          <cell r="BN76" t="str">
            <v>ວຽງຈັນ</v>
          </cell>
          <cell r="BO76" t="str">
            <v>ພະນັກງານ ບໍານານ</v>
          </cell>
          <cell r="BQ76" t="str">
            <v>ຈັນດີ</v>
          </cell>
          <cell r="BR76">
            <v>64</v>
          </cell>
          <cell r="BS76" t="str">
            <v>ຖິ່ນແກ້ວ</v>
          </cell>
          <cell r="BT76" t="str">
            <v>ແກ້ວອຸດົມ</v>
          </cell>
          <cell r="BU76" t="str">
            <v>ວຽງຈັນ</v>
          </cell>
          <cell r="BV76" t="str">
            <v>ຄ້າຂາຍ</v>
          </cell>
          <cell r="CF76">
            <v>58915054</v>
          </cell>
          <cell r="CH76" t="str">
            <v>ສັນຕິບານ</v>
          </cell>
          <cell r="CI76">
            <v>45541</v>
          </cell>
          <cell r="CJ76" t="str">
            <v>636/ຫກມ</v>
          </cell>
        </row>
        <row r="77">
          <cell r="G77" t="str">
            <v>ທ. ຄຳຫຼ້າ ພັນທະວົງ</v>
          </cell>
          <cell r="H77" t="str">
            <v>ຮຕ</v>
          </cell>
          <cell r="I77" t="str">
            <v>ຫຼ້າ</v>
          </cell>
          <cell r="J77" t="str">
            <v>ຊາຍ</v>
          </cell>
          <cell r="K77">
            <v>35647</v>
          </cell>
          <cell r="L77" t="str">
            <v>27 ປີ</v>
          </cell>
          <cell r="M77">
            <v>45527</v>
          </cell>
          <cell r="O77" t="str">
            <v>ລາດຄວາຍ</v>
          </cell>
          <cell r="P77" t="str">
            <v>ໄຊທານີ</v>
          </cell>
          <cell r="Q77" t="str">
            <v>ນະຄອນຫຼວງ</v>
          </cell>
          <cell r="R77" t="str">
            <v>ລາດຄວາຍ</v>
          </cell>
          <cell r="S77" t="str">
            <v>ໄຊທານີ</v>
          </cell>
          <cell r="T77" t="str">
            <v>ນະຄອນຫຼວງ</v>
          </cell>
          <cell r="W77" t="str">
            <v>47</v>
          </cell>
          <cell r="X77" t="str">
            <v>01-24065974</v>
          </cell>
          <cell r="Y77" t="str">
            <v>ລລ</v>
          </cell>
          <cell r="Z77" t="str">
            <v>ພຸດ</v>
          </cell>
          <cell r="AA77" t="str">
            <v>ບໍ່ມີ</v>
          </cell>
          <cell r="AB77">
            <v>43444</v>
          </cell>
          <cell r="AC77">
            <v>43444</v>
          </cell>
          <cell r="AE77">
            <v>45522</v>
          </cell>
          <cell r="AI77">
            <v>41618</v>
          </cell>
          <cell r="AK77">
            <v>44827</v>
          </cell>
          <cell r="AL77" t="str">
            <v>ສະມາຊິກສໍາຮອງ</v>
          </cell>
          <cell r="AM77" t="str">
            <v>ວິຊາການ</v>
          </cell>
          <cell r="AN77" t="str">
            <v>ມ 7</v>
          </cell>
          <cell r="AP77" t="str">
            <v>ຊສ</v>
          </cell>
          <cell r="AQ77" t="str">
            <v>ພາຍໃນ</v>
          </cell>
          <cell r="AR77" t="str">
            <v>ຄຸ້ມຄອງລັດ</v>
          </cell>
          <cell r="AS77" t="str">
            <v>ກໍ່ສ້າງ</v>
          </cell>
          <cell r="AT77" t="str">
            <v>ປກສ ຊັ້ນສູງເລກ2</v>
          </cell>
          <cell r="AU77" t="str">
            <v>2 ປີ</v>
          </cell>
          <cell r="AV77" t="str">
            <v>2021 - 2023</v>
          </cell>
          <cell r="BJ77" t="str">
            <v>ຈຸຍ ພັນທະວົງ</v>
          </cell>
          <cell r="BK77">
            <v>61</v>
          </cell>
          <cell r="BL77" t="str">
            <v>ລາດຄວາຍ</v>
          </cell>
          <cell r="BM77" t="str">
            <v>ໄຊທານີ</v>
          </cell>
          <cell r="BN77" t="str">
            <v>ນະຄອນຫຼວງ</v>
          </cell>
          <cell r="BO77" t="str">
            <v>ປະຊາຊົນ</v>
          </cell>
          <cell r="BQ77" t="str">
            <v>ໄມພຸຍ</v>
          </cell>
          <cell r="BR77">
            <v>56</v>
          </cell>
          <cell r="BS77" t="str">
            <v>ລາດຄວາຍ</v>
          </cell>
          <cell r="BT77" t="str">
            <v>ໄຊທານີ</v>
          </cell>
          <cell r="BU77" t="str">
            <v>ນະຄອນຫຼວງ</v>
          </cell>
          <cell r="BV77" t="str">
            <v>ປະຊາຊົນ</v>
          </cell>
          <cell r="CF77">
            <v>54203865</v>
          </cell>
          <cell r="CH77" t="str">
            <v>ສັນຕິບານ</v>
          </cell>
          <cell r="CI77">
            <v>45541</v>
          </cell>
          <cell r="CJ77" t="str">
            <v>636/ຫກມ</v>
          </cell>
        </row>
        <row r="78">
          <cell r="G78" t="str">
            <v>ທ. ຮ໋ອບບີ້ ເວດວົງ</v>
          </cell>
          <cell r="H78" t="str">
            <v>ຮຕ</v>
          </cell>
          <cell r="J78" t="str">
            <v>ຊາຍ</v>
          </cell>
          <cell r="K78">
            <v>35535</v>
          </cell>
          <cell r="L78" t="str">
            <v>28 ປີ</v>
          </cell>
          <cell r="M78">
            <v>45568</v>
          </cell>
          <cell r="O78" t="str">
            <v>ສົງເປືອຍ</v>
          </cell>
          <cell r="P78" t="str">
            <v>ນາຊາຍທອງ</v>
          </cell>
          <cell r="Q78" t="str">
            <v>ນະຄອນຫຼວງ</v>
          </cell>
          <cell r="R78" t="str">
            <v>ສົງເປືອຍ</v>
          </cell>
          <cell r="S78" t="str">
            <v>ນາຊາຍທອງ</v>
          </cell>
          <cell r="T78" t="str">
            <v>ນະຄອນຫຼວງ</v>
          </cell>
          <cell r="U78" t="str">
            <v>03</v>
          </cell>
          <cell r="V78" t="str">
            <v>13 ເໜືອ</v>
          </cell>
          <cell r="X78" t="str">
            <v>01-21000010</v>
          </cell>
          <cell r="Y78" t="str">
            <v>ລລ</v>
          </cell>
          <cell r="Z78" t="str">
            <v>ພຸດ</v>
          </cell>
          <cell r="AA78" t="str">
            <v>ບໍ່ມີ</v>
          </cell>
          <cell r="AB78">
            <v>44923</v>
          </cell>
          <cell r="AC78">
            <v>44923</v>
          </cell>
          <cell r="AI78">
            <v>41558</v>
          </cell>
          <cell r="AK78">
            <v>43237</v>
          </cell>
          <cell r="AM78" t="str">
            <v>ວິຊາການ</v>
          </cell>
          <cell r="AN78" t="str">
            <v>ມ 7</v>
          </cell>
          <cell r="AP78" t="str">
            <v>ປຕ</v>
          </cell>
          <cell r="AR78" t="str">
            <v>ພົວພັນການຕ່າງປະເທດ</v>
          </cell>
          <cell r="AS78" t="str">
            <v>ກໍ່ສ້າງ</v>
          </cell>
          <cell r="AT78" t="str">
            <v>ສະຖາບັນການທູດ</v>
          </cell>
          <cell r="AU78" t="str">
            <v>5 ປີ</v>
          </cell>
          <cell r="AV78" t="str">
            <v>2015 - 2020</v>
          </cell>
          <cell r="BJ78" t="str">
            <v>ບົວຮອງ ພິມມະສອນ</v>
          </cell>
          <cell r="BK78">
            <v>63</v>
          </cell>
          <cell r="BL78" t="str">
            <v>ສົງເປືອຍ</v>
          </cell>
          <cell r="BM78" t="str">
            <v>ນາຊາຍທອງ</v>
          </cell>
          <cell r="BN78" t="str">
            <v>ນະຄອນຫຼວງ</v>
          </cell>
          <cell r="BO78" t="str">
            <v>ນັກທຸລະກິດ</v>
          </cell>
          <cell r="BQ78" t="str">
            <v>ອໍາໄພ ເວດວົງ</v>
          </cell>
          <cell r="BR78">
            <v>60</v>
          </cell>
          <cell r="BS78" t="str">
            <v>ສົງເປືອຍ</v>
          </cell>
          <cell r="BT78" t="str">
            <v>ນາຊາຍທອງ</v>
          </cell>
          <cell r="BU78" t="str">
            <v>ນະຄອນຫຼວງ</v>
          </cell>
          <cell r="BV78" t="str">
            <v>ຄ້າຂາຍ</v>
          </cell>
          <cell r="CF78">
            <v>78408801</v>
          </cell>
          <cell r="CH78" t="str">
            <v>ປົກຄອງ</v>
          </cell>
          <cell r="CI78">
            <v>45344</v>
          </cell>
          <cell r="CJ78" t="str">
            <v>782/ກມປສ</v>
          </cell>
        </row>
        <row r="79">
          <cell r="G79" t="str">
            <v>ທ. ວິໃນ ແສນຄໍາວົງ</v>
          </cell>
          <cell r="H79" t="str">
            <v>ຮຕ</v>
          </cell>
          <cell r="J79" t="str">
            <v>ຊາຍ</v>
          </cell>
          <cell r="K79">
            <v>35430</v>
          </cell>
          <cell r="L79" t="str">
            <v>28 ປີ</v>
          </cell>
          <cell r="M79">
            <v>45183</v>
          </cell>
          <cell r="O79" t="str">
            <v>ທົ່ງມັ່ງ</v>
          </cell>
          <cell r="P79" t="str">
            <v>ໄຊທານີ</v>
          </cell>
          <cell r="Q79" t="str">
            <v>ນະຄອນຫຼວງ</v>
          </cell>
          <cell r="R79" t="str">
            <v>ທົ່ງມັ່ງ</v>
          </cell>
          <cell r="S79" t="str">
            <v>ໄຊທານີ</v>
          </cell>
          <cell r="T79" t="str">
            <v>ນະຄອນຫຼວງ</v>
          </cell>
          <cell r="U79" t="str">
            <v>17</v>
          </cell>
          <cell r="V79" t="str">
            <v>ເລກ 10</v>
          </cell>
          <cell r="W79" t="str">
            <v>09</v>
          </cell>
          <cell r="X79" t="str">
            <v>01-19028736</v>
          </cell>
          <cell r="Y79" t="str">
            <v>ລລ</v>
          </cell>
          <cell r="Z79" t="str">
            <v>ພຸດ</v>
          </cell>
          <cell r="AA79" t="str">
            <v>35629/ກພງ</v>
          </cell>
          <cell r="AB79">
            <v>44550</v>
          </cell>
          <cell r="AC79">
            <v>44550</v>
          </cell>
          <cell r="AI79">
            <v>41361</v>
          </cell>
          <cell r="AM79" t="str">
            <v>ວິຊາການ</v>
          </cell>
          <cell r="AN79" t="str">
            <v>ມ 7</v>
          </cell>
          <cell r="AP79" t="str">
            <v>ປຕ</v>
          </cell>
          <cell r="AR79" t="str">
            <v>ຄຸ້ມຄອງປ່າໄມ້</v>
          </cell>
          <cell r="AS79" t="str">
            <v>ກໍ່ສ້າງ</v>
          </cell>
          <cell r="AT79" t="str">
            <v>ວິທະຍາສາດປ່າໄມ້</v>
          </cell>
          <cell r="AU79" t="str">
            <v>4 ປີ</v>
          </cell>
          <cell r="AV79" t="str">
            <v>2015 - 2019</v>
          </cell>
          <cell r="BJ79" t="str">
            <v>ຕ</v>
          </cell>
          <cell r="BQ79" t="str">
            <v>ຕ</v>
          </cell>
          <cell r="CF79">
            <v>97289239</v>
          </cell>
          <cell r="CH79" t="str">
            <v>ປົກຄອງ</v>
          </cell>
        </row>
        <row r="80">
          <cell r="G80" t="str">
            <v>ທ. ລາສີສັກ ແກ້ວວິໄລ</v>
          </cell>
          <cell r="H80" t="str">
            <v>ຮຕ</v>
          </cell>
          <cell r="J80" t="str">
            <v>ຊາຍ</v>
          </cell>
          <cell r="K80">
            <v>34813</v>
          </cell>
          <cell r="L80" t="str">
            <v>30 ປີ</v>
          </cell>
          <cell r="M80">
            <v>45336</v>
          </cell>
          <cell r="O80" t="str">
            <v>ຫ້ວຍຍາງຄໍາ</v>
          </cell>
          <cell r="P80" t="str">
            <v>ປາກເຊ</v>
          </cell>
          <cell r="Q80" t="str">
            <v>ຈໍາປາສັກ</v>
          </cell>
          <cell r="R80" t="str">
            <v>ພະຂາວ</v>
          </cell>
          <cell r="S80" t="str">
            <v>ໄຊທານີ</v>
          </cell>
          <cell r="T80" t="str">
            <v>ນະຄອນຫຼວງ</v>
          </cell>
          <cell r="U80" t="str">
            <v>894</v>
          </cell>
          <cell r="V80" t="str">
            <v>ໄກສອນ</v>
          </cell>
          <cell r="W80" t="str">
            <v>04</v>
          </cell>
          <cell r="X80" t="str">
            <v>01-20022730</v>
          </cell>
          <cell r="Y80" t="str">
            <v>ລລ</v>
          </cell>
          <cell r="Z80" t="str">
            <v>ພຸດ</v>
          </cell>
          <cell r="AA80" t="str">
            <v>ບໍ່ມີ</v>
          </cell>
          <cell r="AB80">
            <v>44923</v>
          </cell>
          <cell r="AC80">
            <v>44923</v>
          </cell>
          <cell r="AI80">
            <v>39961</v>
          </cell>
          <cell r="AM80" t="str">
            <v>ວິຊາການ</v>
          </cell>
          <cell r="AN80" t="str">
            <v>ມ 7</v>
          </cell>
          <cell r="AP80" t="str">
            <v>ປຕ</v>
          </cell>
          <cell r="AR80" t="str">
            <v>ການເງິນແຫ່ງລັດ</v>
          </cell>
          <cell r="AS80" t="str">
            <v>ຕໍ່ເນື່ອງ</v>
          </cell>
          <cell r="AT80" t="str">
            <v>ສະຖາບັນເສດຖະກິດ-ການເງິນ</v>
          </cell>
          <cell r="AU80" t="str">
            <v>2 ປີ</v>
          </cell>
          <cell r="AV80" t="str">
            <v>2018 - 2020</v>
          </cell>
          <cell r="BJ80" t="str">
            <v>ເຂັມເພັດ ແກ້ວວິໄລ</v>
          </cell>
          <cell r="BK80">
            <v>62</v>
          </cell>
          <cell r="BL80" t="str">
            <v>ພະຂາດ</v>
          </cell>
          <cell r="BM80" t="str">
            <v>ໄຊທານີ</v>
          </cell>
          <cell r="BN80" t="str">
            <v>ນະຄອນຫຼວງ</v>
          </cell>
          <cell r="BO80" t="str">
            <v>ພະນັກງານ ບໍານານ</v>
          </cell>
          <cell r="BQ80" t="str">
            <v>ສີສະໜອນ ແກ້ວວິໄລ</v>
          </cell>
          <cell r="BR80">
            <v>61</v>
          </cell>
          <cell r="BS80" t="str">
            <v>ພະຂາດ</v>
          </cell>
          <cell r="BT80" t="str">
            <v>ໄຊທານີ</v>
          </cell>
          <cell r="BU80" t="str">
            <v>ນະຄອນຫຼວງ</v>
          </cell>
          <cell r="BV80" t="str">
            <v>ພະນັກງານ ບໍານານ</v>
          </cell>
          <cell r="CF80">
            <v>97898555</v>
          </cell>
          <cell r="CH80" t="str">
            <v>ປົກຄອງ</v>
          </cell>
        </row>
        <row r="81">
          <cell r="G81" t="str">
            <v xml:space="preserve">ທ. ບີດ ເພຍໄຊ </v>
          </cell>
          <cell r="H81" t="str">
            <v>ຮຕ</v>
          </cell>
          <cell r="I81" t="str">
            <v>ບີດ</v>
          </cell>
          <cell r="J81" t="str">
            <v>ຊາຍ</v>
          </cell>
          <cell r="K81">
            <v>35477</v>
          </cell>
          <cell r="L81" t="str">
            <v>28 ປີ</v>
          </cell>
          <cell r="M81">
            <v>45568</v>
          </cell>
          <cell r="O81" t="str">
            <v>ໂພນຕານ</v>
          </cell>
          <cell r="P81" t="str">
            <v>ຄໍາເກີດ</v>
          </cell>
          <cell r="Q81" t="str">
            <v>ບໍລິຄໍາໄຊ</v>
          </cell>
          <cell r="R81" t="str">
            <v>ດອນໜູນ</v>
          </cell>
          <cell r="S81" t="str">
            <v>ໄຊເສດຖາ</v>
          </cell>
          <cell r="T81" t="str">
            <v>ນະຄອນຫຼວງ</v>
          </cell>
          <cell r="U81" t="str">
            <v>172</v>
          </cell>
          <cell r="W81" t="str">
            <v>08</v>
          </cell>
          <cell r="X81" t="str">
            <v>11-0058424</v>
          </cell>
          <cell r="Y81" t="str">
            <v>ລລ</v>
          </cell>
          <cell r="Z81" t="str">
            <v>ພຸດ</v>
          </cell>
          <cell r="AA81" t="str">
            <v>ບໍ່ມີ</v>
          </cell>
          <cell r="AB81">
            <v>44923</v>
          </cell>
          <cell r="AC81">
            <v>44923</v>
          </cell>
          <cell r="AI81">
            <v>41390</v>
          </cell>
          <cell r="AK81">
            <v>43094</v>
          </cell>
          <cell r="AM81" t="str">
            <v>ວິຊາການ</v>
          </cell>
          <cell r="AN81" t="str">
            <v>ມ 7</v>
          </cell>
          <cell r="AP81" t="str">
            <v>ປຕ</v>
          </cell>
          <cell r="AR81" t="str">
            <v>ວິສະວະກໍາກົນຈັກ</v>
          </cell>
          <cell r="AS81" t="str">
            <v>ຕໍ່ເນື່ອງ</v>
          </cell>
          <cell r="AT81" t="str">
            <v>ມະຫາວິທະຍາໄລແຫ່ງຊາດ</v>
          </cell>
          <cell r="AU81" t="str">
            <v>5 ປີ</v>
          </cell>
          <cell r="AV81" t="str">
            <v>2017 - 2021</v>
          </cell>
          <cell r="BJ81" t="str">
            <v>ຄໍາສີ ເພຍໄຊ</v>
          </cell>
          <cell r="BK81">
            <v>59</v>
          </cell>
          <cell r="BL81" t="str">
            <v>ໂພນຕານ</v>
          </cell>
          <cell r="BM81" t="str">
            <v>ຄໍາເກີດ</v>
          </cell>
          <cell r="BN81" t="str">
            <v>ບໍລິຄໍາໄຊ</v>
          </cell>
          <cell r="BQ81" t="str">
            <v>ອິນທະຫວາ ເພຍໄຊ</v>
          </cell>
          <cell r="BR81">
            <v>51</v>
          </cell>
          <cell r="BS81" t="str">
            <v>ໂພນຕານ</v>
          </cell>
          <cell r="BT81" t="str">
            <v>ຄໍາເກີດ</v>
          </cell>
          <cell r="BU81" t="str">
            <v>ບໍລິຄໍາໄຊ</v>
          </cell>
          <cell r="BV81" t="str">
            <v>ປະຊາຊົນ</v>
          </cell>
          <cell r="CF81">
            <v>91211441</v>
          </cell>
          <cell r="CH81" t="str">
            <v>ປົກຄອງ</v>
          </cell>
          <cell r="CI81">
            <v>45344</v>
          </cell>
          <cell r="CJ81" t="str">
            <v>782/ກມປສ</v>
          </cell>
        </row>
        <row r="82">
          <cell r="G82" t="str">
            <v>ນ. ຫັດສະດີ ສີບຸນເຮືອງ</v>
          </cell>
          <cell r="H82" t="str">
            <v>ຮຕ</v>
          </cell>
          <cell r="I82" t="str">
            <v>ຍອງ</v>
          </cell>
          <cell r="J82" t="str">
            <v>ຍິງ</v>
          </cell>
          <cell r="K82">
            <v>35268</v>
          </cell>
          <cell r="L82" t="str">
            <v>28 ປີ</v>
          </cell>
          <cell r="M82">
            <v>45182</v>
          </cell>
          <cell r="O82" t="str">
            <v>ນາຊາຍທອງເໜືອ</v>
          </cell>
          <cell r="P82" t="str">
            <v>ນາຊາຍທອງ</v>
          </cell>
          <cell r="Q82" t="str">
            <v>ນະຄອນຫຼວງ</v>
          </cell>
          <cell r="R82" t="str">
            <v>ນາຊາຍທອງເໜືອ</v>
          </cell>
          <cell r="S82" t="str">
            <v>ນາຊາຍທອງ</v>
          </cell>
          <cell r="T82" t="str">
            <v>ນະຄອນຫຼວງ</v>
          </cell>
          <cell r="U82" t="str">
            <v>209</v>
          </cell>
          <cell r="V82" t="str">
            <v>13 ເໜືອ</v>
          </cell>
          <cell r="X82" t="str">
            <v>856010519960464</v>
          </cell>
          <cell r="Y82" t="str">
            <v>ລລ</v>
          </cell>
          <cell r="Z82" t="str">
            <v>ພຸດ</v>
          </cell>
          <cell r="AA82" t="str">
            <v>36920/ກພງ</v>
          </cell>
          <cell r="AB82">
            <v>44550</v>
          </cell>
          <cell r="AC82">
            <v>44550</v>
          </cell>
          <cell r="AI82">
            <v>40537</v>
          </cell>
          <cell r="AJ82">
            <v>41780</v>
          </cell>
          <cell r="AM82" t="str">
            <v>ວິຊາການ</v>
          </cell>
          <cell r="AN82" t="str">
            <v>ມ 7</v>
          </cell>
          <cell r="AO82" t="str">
            <v>ຫວຽດນາມ</v>
          </cell>
          <cell r="AP82" t="str">
            <v>ປຕ</v>
          </cell>
          <cell r="AQ82" t="str">
            <v>ຕ່າງປະເທດ</v>
          </cell>
          <cell r="AR82" t="str">
            <v>ບັນຊີ</v>
          </cell>
          <cell r="AS82" t="str">
            <v>ກໍ່ສ້າງ</v>
          </cell>
          <cell r="AT82" t="str">
            <v>ມະຫາວິທະຍາໄລ ວິສະວະກໍາ ອຸດສາຫະກໍາ ທ້າຍຫວຽນ</v>
          </cell>
          <cell r="AU82" t="str">
            <v>6 ປີ</v>
          </cell>
          <cell r="AV82" t="str">
            <v>2014 - 2020</v>
          </cell>
          <cell r="BJ82" t="str">
            <v>ຂັນທອງ ສີບຸນເຮືອງ</v>
          </cell>
          <cell r="BK82">
            <v>54</v>
          </cell>
          <cell r="BL82" t="str">
            <v>ນາຊາຍທອງເໜືອ</v>
          </cell>
          <cell r="BM82" t="str">
            <v>ນາຊາຍທອງ</v>
          </cell>
          <cell r="BN82" t="str">
            <v>ນະຄອນຫຼວງ</v>
          </cell>
          <cell r="BO82" t="str">
            <v>ຕໍາຫຼວດ</v>
          </cell>
          <cell r="BP82" t="str">
            <v>ປກສ ເມືອງນາຊາຍທອງ</v>
          </cell>
          <cell r="BQ82" t="str">
            <v>ຫົງຄໍາ</v>
          </cell>
          <cell r="BR82">
            <v>49</v>
          </cell>
          <cell r="BS82" t="str">
            <v>ນາຊາຍທອງເໜືອ</v>
          </cell>
          <cell r="BT82" t="str">
            <v>ນາຊາຍທອງ</v>
          </cell>
          <cell r="BU82" t="str">
            <v>ນະຄອນຫຼວງ</v>
          </cell>
          <cell r="BV82" t="str">
            <v>ປະຊາຊົນ</v>
          </cell>
          <cell r="CF82">
            <v>77307107</v>
          </cell>
          <cell r="CH82" t="str">
            <v>ປົກຄອງ</v>
          </cell>
        </row>
        <row r="83">
          <cell r="G83" t="str">
            <v>ນ. ວາດສະໜາ ສານກອງມີ</v>
          </cell>
          <cell r="H83" t="str">
            <v>ຮຕ</v>
          </cell>
          <cell r="I83" t="str">
            <v>ວາດ</v>
          </cell>
          <cell r="J83" t="str">
            <v>ຍິງ</v>
          </cell>
          <cell r="K83">
            <v>35377</v>
          </cell>
          <cell r="L83" t="str">
            <v>28 ປີ</v>
          </cell>
          <cell r="M83">
            <v>45182</v>
          </cell>
          <cell r="O83" t="str">
            <v>ດອນຕະແບງ</v>
          </cell>
          <cell r="P83" t="str">
            <v>ໂພນທອງ</v>
          </cell>
          <cell r="Q83" t="str">
            <v>ຈໍາປາສັກ</v>
          </cell>
          <cell r="R83" t="str">
            <v>ດອນຕະແບງ</v>
          </cell>
          <cell r="S83" t="str">
            <v>ໂພນທອງ</v>
          </cell>
          <cell r="T83" t="str">
            <v>ຈໍາປາສັກ</v>
          </cell>
          <cell r="U83" t="str">
            <v>203</v>
          </cell>
          <cell r="X83" t="str">
            <v>16-21002926</v>
          </cell>
          <cell r="Y83" t="str">
            <v>ລລ</v>
          </cell>
          <cell r="Z83" t="str">
            <v>ພຸດ</v>
          </cell>
          <cell r="AA83" t="str">
            <v>35628/ກພງ</v>
          </cell>
          <cell r="AB83">
            <v>44550</v>
          </cell>
          <cell r="AC83">
            <v>44550</v>
          </cell>
          <cell r="AI83">
            <v>41405</v>
          </cell>
          <cell r="AJ83">
            <v>41407</v>
          </cell>
          <cell r="AM83" t="str">
            <v>ວິຊາການ</v>
          </cell>
          <cell r="AN83" t="str">
            <v>ມ 7</v>
          </cell>
          <cell r="AP83" t="str">
            <v>ປຕ</v>
          </cell>
          <cell r="AR83" t="str">
            <v>ລ້ຽງສັດ</v>
          </cell>
          <cell r="AS83" t="str">
            <v>ຕໍ່ເນື່ອງ</v>
          </cell>
          <cell r="AT83" t="str">
            <v>ຄະນະກະເສດສາດ ວິທະຍາໄລແຫ່ງຊາດ</v>
          </cell>
          <cell r="AU83" t="str">
            <v>2 ປີ</v>
          </cell>
          <cell r="AV83" t="str">
            <v>2019 - 2020</v>
          </cell>
          <cell r="BJ83" t="str">
            <v>ໃບ ສານກອງມີ</v>
          </cell>
          <cell r="BK83">
            <v>58</v>
          </cell>
          <cell r="BL83" t="str">
            <v>ດອນຕະແບງ</v>
          </cell>
          <cell r="BM83" t="str">
            <v>ໂພນທອງ</v>
          </cell>
          <cell r="BN83" t="str">
            <v>ຈໍາປາສັກ</v>
          </cell>
          <cell r="BO83" t="str">
            <v>ປະຊາຊົນ</v>
          </cell>
          <cell r="BQ83" t="str">
            <v>ໃບ ສານກອງມີ</v>
          </cell>
          <cell r="BR83">
            <v>57</v>
          </cell>
          <cell r="BS83" t="str">
            <v>ດອນຕະແບງ</v>
          </cell>
          <cell r="BT83" t="str">
            <v>ໂພນທອງ</v>
          </cell>
          <cell r="BU83" t="str">
            <v>ຈໍາປາສັກ</v>
          </cell>
          <cell r="BV83" t="str">
            <v>ປະຊາຊົນ</v>
          </cell>
          <cell r="BX83" t="str">
            <v>ບຸນລ້ຽງ ພິມນີລາ</v>
          </cell>
          <cell r="BY83">
            <v>35767</v>
          </cell>
          <cell r="BZ83" t="str">
            <v>ຈໍາປາ</v>
          </cell>
          <cell r="CA83" t="str">
            <v>ສີໂຄດຕະບອງ</v>
          </cell>
          <cell r="CB83" t="str">
            <v>ນະຄອນຫຼວງ</v>
          </cell>
          <cell r="CC83" t="str">
            <v>ທະຫານ</v>
          </cell>
          <cell r="CD83" t="str">
            <v>ກອງພັນໃຫຍ່ຍານພາຫະນະເກາະ11</v>
          </cell>
          <cell r="CE83">
            <v>0</v>
          </cell>
          <cell r="CF83">
            <v>55083957</v>
          </cell>
          <cell r="CH83" t="str">
            <v>ປົກຄອງ</v>
          </cell>
        </row>
        <row r="84">
          <cell r="G84" t="str">
            <v>ນ. ພັນ ທຳມະວົງ</v>
          </cell>
          <cell r="H84" t="str">
            <v>ຮຕ</v>
          </cell>
          <cell r="J84" t="str">
            <v>ຍິງ</v>
          </cell>
          <cell r="K84">
            <v>34678</v>
          </cell>
          <cell r="L84" t="str">
            <v>30 ປີ</v>
          </cell>
          <cell r="M84">
            <v>45182</v>
          </cell>
          <cell r="O84" t="str">
            <v>ໂພນຂາມ</v>
          </cell>
          <cell r="P84" t="str">
            <v>ບໍລິຄັນ</v>
          </cell>
          <cell r="Q84" t="str">
            <v>ບໍລິຄໍາໄຊ</v>
          </cell>
          <cell r="R84" t="str">
            <v>ໂພນຂາມ</v>
          </cell>
          <cell r="S84" t="str">
            <v>ບໍລິຄັນ</v>
          </cell>
          <cell r="T84" t="str">
            <v>ບໍລິຄໍາໄຊ</v>
          </cell>
          <cell r="U84" t="str">
            <v>126</v>
          </cell>
          <cell r="X84" t="str">
            <v>11-0042766</v>
          </cell>
          <cell r="Y84" t="str">
            <v>ລລ</v>
          </cell>
          <cell r="Z84" t="str">
            <v>ພຸດ</v>
          </cell>
          <cell r="AA84" t="str">
            <v>35627/ກພງ</v>
          </cell>
          <cell r="AB84">
            <v>44550</v>
          </cell>
          <cell r="AC84">
            <v>44550</v>
          </cell>
          <cell r="AI84">
            <v>41354</v>
          </cell>
          <cell r="AJ84">
            <v>40543</v>
          </cell>
          <cell r="AK84">
            <v>43263</v>
          </cell>
          <cell r="AM84" t="str">
            <v>ວິຊາການ</v>
          </cell>
          <cell r="AN84" t="str">
            <v>ມ 7</v>
          </cell>
          <cell r="AP84" t="str">
            <v>ປຕ</v>
          </cell>
          <cell r="AR84" t="str">
            <v>ລ້ຽງສັດ</v>
          </cell>
          <cell r="AS84" t="str">
            <v>ຕໍ່ເນື່ອງ</v>
          </cell>
          <cell r="AT84" t="str">
            <v>ຄະນະກະເສດສາດ</v>
          </cell>
          <cell r="AU84" t="str">
            <v>2 ປີ</v>
          </cell>
          <cell r="AV84" t="str">
            <v>2017 - 2018</v>
          </cell>
          <cell r="BJ84" t="str">
            <v>ບູນຖິນ</v>
          </cell>
          <cell r="BK84" t="str">
            <v>ຕ</v>
          </cell>
          <cell r="BQ84" t="str">
            <v>ກອງມາ</v>
          </cell>
          <cell r="BR84">
            <v>68</v>
          </cell>
          <cell r="BS84" t="str">
            <v>ນາແຫນ</v>
          </cell>
          <cell r="BT84" t="str">
            <v>ບໍລິຄັນ</v>
          </cell>
          <cell r="BU84" t="str">
            <v>ບໍລິຄໍາໄຊ</v>
          </cell>
          <cell r="BV84" t="str">
            <v>ຊາວນາ</v>
          </cell>
          <cell r="CF84">
            <v>98302672</v>
          </cell>
          <cell r="CH84" t="str">
            <v>ປົກຄອງ</v>
          </cell>
        </row>
        <row r="85">
          <cell r="G85" t="str">
            <v>ນ. ນ້ອຍ ປັນຍາອຸດົມ</v>
          </cell>
          <cell r="H85" t="str">
            <v>ຮຕ</v>
          </cell>
          <cell r="J85" t="str">
            <v>ຍິງ</v>
          </cell>
          <cell r="K85">
            <v>35536</v>
          </cell>
          <cell r="L85" t="str">
            <v>28 ປີ</v>
          </cell>
          <cell r="M85">
            <v>45568</v>
          </cell>
          <cell r="O85" t="str">
            <v>ວຽງໄຊ-ນາຫຼວງ</v>
          </cell>
          <cell r="P85" t="str">
            <v>ວັງວຽງ</v>
          </cell>
          <cell r="Q85" t="str">
            <v>ວຽງຈັນ</v>
          </cell>
          <cell r="R85" t="str">
            <v>ວຽງໄຊ-ນາຫຼວງ</v>
          </cell>
          <cell r="S85" t="str">
            <v>ວັງວຽງ</v>
          </cell>
          <cell r="T85" t="str">
            <v>ວຽງຈັນ</v>
          </cell>
          <cell r="U85" t="str">
            <v>022</v>
          </cell>
          <cell r="V85" t="str">
            <v>13 ເໜືອ</v>
          </cell>
          <cell r="W85" t="str">
            <v>01</v>
          </cell>
          <cell r="X85" t="str">
            <v>10-0168494</v>
          </cell>
          <cell r="Y85" t="str">
            <v>ລລ</v>
          </cell>
          <cell r="Z85" t="str">
            <v>ພຸດ</v>
          </cell>
          <cell r="AA85" t="str">
            <v>ບໍ່ມີ</v>
          </cell>
          <cell r="AB85">
            <v>44923</v>
          </cell>
          <cell r="AC85">
            <v>44923</v>
          </cell>
          <cell r="AI85">
            <v>41339</v>
          </cell>
          <cell r="AJ85">
            <v>41368</v>
          </cell>
          <cell r="AM85" t="str">
            <v>ວິຊາການ</v>
          </cell>
          <cell r="AN85" t="str">
            <v>ມ 7</v>
          </cell>
          <cell r="AP85" t="str">
            <v>ປຕ</v>
          </cell>
          <cell r="AR85" t="str">
            <v>ລ້ຽງສັດ</v>
          </cell>
          <cell r="AS85" t="str">
            <v>ຕໍ່ເນື່ອງ</v>
          </cell>
          <cell r="AT85" t="str">
            <v>ມະຫາວິທະຍາໄລ ແຫ່ງຊາດ</v>
          </cell>
          <cell r="AU85" t="str">
            <v>2 ປີ</v>
          </cell>
          <cell r="AV85" t="str">
            <v>2019 - 2021</v>
          </cell>
          <cell r="BJ85" t="str">
            <v>ໂຜຄໍາ ພັນທະວົງ</v>
          </cell>
          <cell r="BK85">
            <v>72</v>
          </cell>
          <cell r="BL85" t="str">
            <v>ວຽງໄຊ-ນາຫຼວງ</v>
          </cell>
          <cell r="BM85" t="str">
            <v>ວັງວຽງ</v>
          </cell>
          <cell r="BN85" t="str">
            <v>ວຽງຈັນ</v>
          </cell>
          <cell r="BO85" t="str">
            <v>ປະຊາຊົນ</v>
          </cell>
          <cell r="BQ85" t="str">
            <v>ອ້ອມ</v>
          </cell>
          <cell r="BR85">
            <v>62</v>
          </cell>
          <cell r="BS85" t="str">
            <v>ວຽງໄຊ-ນາຫຼວງ</v>
          </cell>
          <cell r="BT85" t="str">
            <v>ວັງວຽງ</v>
          </cell>
          <cell r="BU85" t="str">
            <v>ວຽງຈັນ</v>
          </cell>
          <cell r="BV85" t="str">
            <v>ປະຊາຊົນ</v>
          </cell>
          <cell r="CF85">
            <v>54041543</v>
          </cell>
          <cell r="CH85" t="str">
            <v>ປົກຄອງ</v>
          </cell>
        </row>
        <row r="86">
          <cell r="G86" t="str">
            <v>ນ. ດາວວີ ແກ້ວຫຼວງໂຄດ</v>
          </cell>
          <cell r="H86" t="str">
            <v>ຮຕ</v>
          </cell>
          <cell r="I86" t="str">
            <v>ນ້ອຍ</v>
          </cell>
          <cell r="J86" t="str">
            <v>ຍິງ</v>
          </cell>
          <cell r="K86">
            <v>35526</v>
          </cell>
          <cell r="L86" t="str">
            <v>28 ປີ</v>
          </cell>
          <cell r="M86">
            <v>45231</v>
          </cell>
          <cell r="O86" t="str">
            <v>ນາມອນ</v>
          </cell>
          <cell r="P86" t="str">
            <v>ຮົ່ມ</v>
          </cell>
          <cell r="Q86" t="str">
            <v>ວຽງຈັນ</v>
          </cell>
          <cell r="R86" t="str">
            <v>ໜອງທາໃຕ້</v>
          </cell>
          <cell r="S86" t="str">
            <v>ຈັນທະບູລີ</v>
          </cell>
          <cell r="T86" t="str">
            <v>ນະຄອນຫຼວງ</v>
          </cell>
          <cell r="U86" t="str">
            <v>015</v>
          </cell>
          <cell r="X86" t="str">
            <v>01-24077045</v>
          </cell>
          <cell r="Y86" t="str">
            <v>ລລ</v>
          </cell>
          <cell r="Z86" t="str">
            <v>ພຸດ</v>
          </cell>
          <cell r="AA86" t="str">
            <v>35624/ກພງ</v>
          </cell>
          <cell r="AB86">
            <v>44550</v>
          </cell>
          <cell r="AC86">
            <v>44550</v>
          </cell>
          <cell r="AI86">
            <v>41242</v>
          </cell>
          <cell r="AJ86">
            <v>40975</v>
          </cell>
          <cell r="AK86">
            <v>43293</v>
          </cell>
          <cell r="AM86" t="str">
            <v>ວິຊາການ</v>
          </cell>
          <cell r="AN86" t="str">
            <v>ມ 7</v>
          </cell>
          <cell r="AP86" t="str">
            <v>ປຕ</v>
          </cell>
          <cell r="AR86" t="str">
            <v>ການໂຮງແຮມ</v>
          </cell>
          <cell r="AS86" t="str">
            <v>ເຊື່ອມຕໍ່</v>
          </cell>
          <cell r="AT86" t="str">
            <v>ມະຫາວິທະຍາໄລແຫ່ງຊາດ</v>
          </cell>
          <cell r="AU86" t="str">
            <v>2 ປີ</v>
          </cell>
          <cell r="AV86" t="str">
            <v>2018 - 2020</v>
          </cell>
          <cell r="BJ86" t="str">
            <v>ຖິ່ນແກ້ວ ແກ້ວຫຼວງໂຄດ</v>
          </cell>
          <cell r="BK86">
            <v>56</v>
          </cell>
          <cell r="BL86" t="str">
            <v>ນາມອນ</v>
          </cell>
          <cell r="BM86" t="str">
            <v>ລ້ອງຊານ</v>
          </cell>
          <cell r="BN86" t="str">
            <v>ໄຊສົມບູນ</v>
          </cell>
          <cell r="BO86" t="str">
            <v>ປະຊາຊົນ</v>
          </cell>
          <cell r="BP86" t="str">
            <v>ນາມອນ</v>
          </cell>
          <cell r="BQ86" t="str">
            <v>ຄໍາເພົາ ກິ່ງສີດາ</v>
          </cell>
          <cell r="BR86">
            <v>52</v>
          </cell>
          <cell r="BS86" t="str">
            <v>ນາມອນ</v>
          </cell>
          <cell r="BT86" t="str">
            <v>ລ້ອງຊານ</v>
          </cell>
          <cell r="BU86" t="str">
            <v>ໄຊສົມບູນ</v>
          </cell>
          <cell r="BV86" t="str">
            <v>ປະຊາຊົນ</v>
          </cell>
          <cell r="BW86" t="str">
            <v>ນາມອນ</v>
          </cell>
          <cell r="CF86">
            <v>95202866</v>
          </cell>
          <cell r="CH86" t="str">
            <v>ປົກຄອງ</v>
          </cell>
        </row>
        <row r="87">
          <cell r="G87" t="str">
            <v>ນ. ສຸພາວັນ ແກ້ວວົງສີ</v>
          </cell>
          <cell r="H87" t="str">
            <v>ຮຕ</v>
          </cell>
          <cell r="J87" t="str">
            <v>ຍິງ</v>
          </cell>
          <cell r="K87">
            <v>36377</v>
          </cell>
          <cell r="L87" t="str">
            <v>25 ປີ</v>
          </cell>
          <cell r="M87">
            <v>45568</v>
          </cell>
          <cell r="O87" t="str">
            <v>ຊຽງຍືນ</v>
          </cell>
          <cell r="P87" t="str">
            <v>ຈັນທະບູລີ</v>
          </cell>
          <cell r="Q87" t="str">
            <v>ນະຄອນຫຼວງ</v>
          </cell>
          <cell r="R87" t="str">
            <v>ຈັນສະຫວ່າງ</v>
          </cell>
          <cell r="S87" t="str">
            <v>ສີໂຄດຕະບອງ</v>
          </cell>
          <cell r="T87" t="str">
            <v>ນະຄອນຫຼວງ</v>
          </cell>
          <cell r="W87" t="str">
            <v>06</v>
          </cell>
          <cell r="X87" t="str">
            <v>01-18040787</v>
          </cell>
          <cell r="Y87" t="str">
            <v>ກຶມມຸ</v>
          </cell>
          <cell r="Z87" t="str">
            <v>ພຸດ</v>
          </cell>
          <cell r="AA87" t="str">
            <v>ບໍ່ມີ</v>
          </cell>
          <cell r="AB87">
            <v>44923</v>
          </cell>
          <cell r="AC87">
            <v>44923</v>
          </cell>
          <cell r="AI87">
            <v>42123</v>
          </cell>
          <cell r="AJ87">
            <v>42143</v>
          </cell>
          <cell r="AK87">
            <v>43857</v>
          </cell>
          <cell r="AM87" t="str">
            <v>ວິຊາການ</v>
          </cell>
          <cell r="AN87" t="str">
            <v>ມ 7</v>
          </cell>
          <cell r="AP87" t="str">
            <v>ປຕ</v>
          </cell>
          <cell r="AR87" t="str">
            <v>ອັກສອນສາດພາສາອັງກິດ</v>
          </cell>
          <cell r="AS87" t="str">
            <v>ກໍ່ສ້າງ</v>
          </cell>
          <cell r="AT87" t="str">
            <v>ມະຫາວິທະຍາໄລແຫ່ງຊາດ</v>
          </cell>
          <cell r="AU87" t="str">
            <v>4 ປີ</v>
          </cell>
          <cell r="AV87" t="str">
            <v>2020 - 2024</v>
          </cell>
          <cell r="BJ87" t="str">
            <v>ສີສະຫວັນ ແກ້ວວົງສີ</v>
          </cell>
          <cell r="BK87">
            <v>57</v>
          </cell>
          <cell r="BL87" t="str">
            <v>ຈັນສະຫວ່າງ</v>
          </cell>
          <cell r="BM87" t="str">
            <v>ສີໂຄດຕະບອງ</v>
          </cell>
          <cell r="BN87" t="str">
            <v>ນະຄອນຫຼວງ</v>
          </cell>
          <cell r="BO87" t="str">
            <v>ພະນັກງານ</v>
          </cell>
          <cell r="BP87" t="str">
            <v>ກະຊວງສຶກສາທິການ ແລະ ກິລາ</v>
          </cell>
          <cell r="BQ87" t="str">
            <v>ອໍາໄພ ແກ້ວວົງສີ</v>
          </cell>
          <cell r="BR87">
            <v>46</v>
          </cell>
          <cell r="BS87" t="str">
            <v>ຈັນສະຫວ່າງ</v>
          </cell>
          <cell r="BT87" t="str">
            <v>ສີໂຄດຕະບອງ</v>
          </cell>
          <cell r="BU87" t="str">
            <v>ນະຄອນຫຼວງ</v>
          </cell>
          <cell r="BV87" t="str">
            <v>ພະນັກງານ</v>
          </cell>
          <cell r="BW87" t="str">
            <v>ວິທະຍຸກະຈາຍສຽງແຫ່ງຊາດລາວ</v>
          </cell>
          <cell r="CF87">
            <v>59861864</v>
          </cell>
          <cell r="CH87" t="str">
            <v>ປົກຄອງ</v>
          </cell>
        </row>
        <row r="88">
          <cell r="G88" t="str">
            <v>ນ. ສຸກສາຄອນ ບຸນລືໄຕ</v>
          </cell>
          <cell r="H88" t="str">
            <v>ຮຕ</v>
          </cell>
          <cell r="I88" t="str">
            <v>ແອ</v>
          </cell>
          <cell r="J88" t="str">
            <v>ຍິງ</v>
          </cell>
          <cell r="K88">
            <v>35692</v>
          </cell>
          <cell r="L88" t="str">
            <v>27 ປີ</v>
          </cell>
          <cell r="M88">
            <v>45182</v>
          </cell>
          <cell r="O88" t="str">
            <v>ທ່າສີ</v>
          </cell>
          <cell r="P88" t="str">
            <v>ບໍລິຄັນ</v>
          </cell>
          <cell r="Q88" t="str">
            <v>ບໍລິຄໍາໄຊ</v>
          </cell>
          <cell r="R88" t="str">
            <v>ໂນນສະອາດ</v>
          </cell>
          <cell r="S88" t="str">
            <v>ໄຊທານີ</v>
          </cell>
          <cell r="T88" t="str">
            <v>ນະຄອນຫຼວງ</v>
          </cell>
          <cell r="U88" t="str">
            <v>1005</v>
          </cell>
          <cell r="V88">
            <v>10</v>
          </cell>
          <cell r="W88" t="str">
            <v>11</v>
          </cell>
          <cell r="X88" t="str">
            <v>01-22049794</v>
          </cell>
          <cell r="Y88" t="str">
            <v>ລລ</v>
          </cell>
          <cell r="Z88" t="str">
            <v>ພຸດ</v>
          </cell>
          <cell r="AA88" t="str">
            <v>36919/ກພງ</v>
          </cell>
          <cell r="AB88">
            <v>44550</v>
          </cell>
          <cell r="AC88">
            <v>44550</v>
          </cell>
          <cell r="AI88">
            <v>41261</v>
          </cell>
          <cell r="AJ88">
            <v>41353</v>
          </cell>
          <cell r="AM88" t="str">
            <v>ວິຊາການ</v>
          </cell>
          <cell r="AN88" t="str">
            <v>ມ 7</v>
          </cell>
          <cell r="AO88" t="str">
            <v>ຫວຽດນາມ</v>
          </cell>
          <cell r="AP88" t="str">
            <v>ປຕ</v>
          </cell>
          <cell r="AQ88" t="str">
            <v>ຕ່າງປະເທດ</v>
          </cell>
          <cell r="AR88" t="str">
            <v>ບັນຊີ</v>
          </cell>
          <cell r="AS88" t="str">
            <v>ກໍ່ສ້າງ</v>
          </cell>
          <cell r="AT88" t="str">
            <v>ມະຫາວິທະຍາໄລ ຮ່າຕິ່ງ</v>
          </cell>
          <cell r="AU88" t="str">
            <v>4 ປີ</v>
          </cell>
          <cell r="AV88" t="str">
            <v>2016 - 2020</v>
          </cell>
          <cell r="BJ88" t="str">
            <v>ຊຽງມອນຈັນ ບຸນລືໄຕ</v>
          </cell>
          <cell r="BK88">
            <v>51</v>
          </cell>
          <cell r="BL88" t="str">
            <v>ໂນນສະອາດ</v>
          </cell>
          <cell r="BM88" t="str">
            <v>ໄຊທານີ</v>
          </cell>
          <cell r="BN88" t="str">
            <v>ນະຄອນຫຼວງ</v>
          </cell>
          <cell r="BO88" t="str">
            <v>ພະນັກງານລັດ</v>
          </cell>
          <cell r="BP88" t="str">
            <v>ໂຮງຮຽນ ປະຖົມສົມບູນໂນນສະອາດ</v>
          </cell>
          <cell r="BQ88" t="str">
            <v>ມາລີ ບຸນຈັນໄຊ</v>
          </cell>
          <cell r="BR88">
            <v>52</v>
          </cell>
          <cell r="BS88" t="str">
            <v>ໂນນສະອາດ</v>
          </cell>
          <cell r="BT88" t="str">
            <v>ໄຊທານີ</v>
          </cell>
          <cell r="BU88" t="str">
            <v>ນະຄອນຫຼວງ</v>
          </cell>
          <cell r="BV88" t="str">
            <v>ປະຊາຊົນ</v>
          </cell>
          <cell r="CF88">
            <v>54269514</v>
          </cell>
          <cell r="CH88" t="str">
            <v>ປົກຄອງ</v>
          </cell>
        </row>
        <row r="89">
          <cell r="G89" t="str">
            <v xml:space="preserve">ນ. ພອນວິໄລ ອຸ່ນສານ </v>
          </cell>
          <cell r="H89" t="str">
            <v>ຮຕ</v>
          </cell>
          <cell r="J89" t="str">
            <v>ຍິງ</v>
          </cell>
          <cell r="K89">
            <v>35033</v>
          </cell>
          <cell r="L89" t="str">
            <v>29 ປີ</v>
          </cell>
          <cell r="M89">
            <v>45182</v>
          </cell>
          <cell r="O89" t="str">
            <v>ແສນສາລີ</v>
          </cell>
          <cell r="P89" t="str">
            <v>ຜົ້ງສາລີ</v>
          </cell>
          <cell r="Q89" t="str">
            <v>ຜົ້ງສາລີ</v>
          </cell>
          <cell r="R89" t="str">
            <v>ໂພນສະຫວັນເໜືອ</v>
          </cell>
          <cell r="S89" t="str">
            <v>ສີສັດຕະນາກ</v>
          </cell>
          <cell r="T89" t="str">
            <v>ນະຄອນຫຼວງ</v>
          </cell>
          <cell r="U89" t="str">
            <v>054</v>
          </cell>
          <cell r="X89" t="str">
            <v>ບໍ່ມີ</v>
          </cell>
          <cell r="Y89" t="str">
            <v>ລລ</v>
          </cell>
          <cell r="Z89" t="str">
            <v>ພຸດ</v>
          </cell>
          <cell r="AA89" t="str">
            <v>35625/ກພງ</v>
          </cell>
          <cell r="AB89">
            <v>44550</v>
          </cell>
          <cell r="AC89">
            <v>44550</v>
          </cell>
          <cell r="AI89">
            <v>40885</v>
          </cell>
          <cell r="AJ89">
            <v>40654</v>
          </cell>
          <cell r="AK89">
            <v>43268</v>
          </cell>
          <cell r="AM89" t="str">
            <v>ວິຊາການ</v>
          </cell>
          <cell r="AN89" t="str">
            <v>ມ 7</v>
          </cell>
          <cell r="AP89" t="str">
            <v>ປຕ</v>
          </cell>
          <cell r="AR89" t="str">
            <v>ສະຖາປັດຕະຍາກໍາ</v>
          </cell>
          <cell r="AS89" t="str">
            <v>ກໍ່ສ້າງ</v>
          </cell>
          <cell r="AT89" t="str">
            <v>ມະຫາວິທະຍາໄລສຸພານຸວົງ</v>
          </cell>
          <cell r="AU89" t="str">
            <v>5 ປີ</v>
          </cell>
          <cell r="AV89" t="str">
            <v>2014 - 2018</v>
          </cell>
          <cell r="BJ89" t="str">
            <v>ສີວິໄລ ອຸ່ນສານ</v>
          </cell>
          <cell r="BK89">
            <v>54</v>
          </cell>
          <cell r="BL89" t="str">
            <v>ແສນສາລີ</v>
          </cell>
          <cell r="BM89" t="str">
            <v>ຜົ້ງສາລີ</v>
          </cell>
          <cell r="BN89" t="str">
            <v>ຜົ້ງສາລີ</v>
          </cell>
          <cell r="BO89" t="str">
            <v>ພະນັກງານ</v>
          </cell>
          <cell r="BP89" t="str">
            <v>ຫ້ອງວ່າການເມືອງຜົ້ງສາລີ</v>
          </cell>
          <cell r="BQ89" t="str">
            <v>ສົມບູນ ອຸ່ນສານ</v>
          </cell>
          <cell r="BR89">
            <v>54</v>
          </cell>
          <cell r="BS89" t="str">
            <v>ແສນສາລີ</v>
          </cell>
          <cell r="BT89" t="str">
            <v>ຜົ້ງສາລີ</v>
          </cell>
          <cell r="BU89" t="str">
            <v>ຜົ້ງສາລີ</v>
          </cell>
          <cell r="BV89" t="str">
            <v>ພະນັກງານ</v>
          </cell>
          <cell r="BW89" t="str">
            <v>ໂຮງໝໍຊຸມຊົນເມືອງຜົ້ງສາລີ</v>
          </cell>
          <cell r="CF89">
            <v>96616402</v>
          </cell>
          <cell r="CH89" t="str">
            <v>ປົກຄອງ</v>
          </cell>
        </row>
        <row r="90">
          <cell r="G90" t="str">
            <v>ທ. ທອງແດງ ສີຫາເທບ</v>
          </cell>
          <cell r="H90" t="str">
            <v>ຮຕ</v>
          </cell>
          <cell r="I90" t="str">
            <v>ທອງ</v>
          </cell>
          <cell r="J90" t="str">
            <v>ຊາຍ</v>
          </cell>
          <cell r="K90">
            <v>34586</v>
          </cell>
          <cell r="L90" t="str">
            <v>30 ປີ</v>
          </cell>
          <cell r="M90">
            <v>45182</v>
          </cell>
          <cell r="O90" t="str">
            <v>ໂພນສີໃຄ</v>
          </cell>
          <cell r="P90" t="str">
            <v>ນະຄອນປາກເຊ</v>
          </cell>
          <cell r="Q90" t="str">
            <v>ຈໍາປາສັກ</v>
          </cell>
          <cell r="R90" t="str">
            <v>ໂພນສີໃຄ</v>
          </cell>
          <cell r="S90" t="str">
            <v>ນະຄອນປາກເຊ</v>
          </cell>
          <cell r="T90" t="str">
            <v>ຈໍາປາສັກ</v>
          </cell>
          <cell r="U90" t="str">
            <v>4063</v>
          </cell>
          <cell r="V90">
            <v>13</v>
          </cell>
          <cell r="X90" t="str">
            <v>ບໍ່ມີ</v>
          </cell>
          <cell r="Y90" t="str">
            <v>ລລ</v>
          </cell>
          <cell r="Z90" t="str">
            <v>ພຸດ</v>
          </cell>
          <cell r="AA90" t="str">
            <v>35631/ກພງ</v>
          </cell>
          <cell r="AB90">
            <v>44550</v>
          </cell>
          <cell r="AC90">
            <v>44550</v>
          </cell>
          <cell r="AI90">
            <v>40328</v>
          </cell>
          <cell r="AM90" t="str">
            <v>ວິຊາການ</v>
          </cell>
          <cell r="AN90" t="str">
            <v>ມ 7</v>
          </cell>
          <cell r="AP90" t="str">
            <v>ປຕ</v>
          </cell>
          <cell r="AR90" t="str">
            <v>ປູກຟັງ</v>
          </cell>
          <cell r="AS90" t="str">
            <v>ກໍ່ສ້າງ</v>
          </cell>
          <cell r="AT90" t="str">
            <v>ມະຫາວິທະຍາໄລ ຈໍາປາສັກ</v>
          </cell>
          <cell r="AU90" t="str">
            <v>4 ປີ</v>
          </cell>
          <cell r="AV90" t="str">
            <v>2013 - 2017</v>
          </cell>
          <cell r="BJ90" t="str">
            <v>ບຸນສີ</v>
          </cell>
          <cell r="BK90">
            <v>66</v>
          </cell>
          <cell r="BL90" t="str">
            <v>ໂພນສີໃຄ</v>
          </cell>
          <cell r="BM90" t="str">
            <v>ນະຄອນປາກເຊ</v>
          </cell>
          <cell r="BN90" t="str">
            <v>ຈໍາປາສັກ</v>
          </cell>
          <cell r="BO90" t="str">
            <v>ຊາວນາ</v>
          </cell>
          <cell r="BQ90" t="str">
            <v>ສົມຄິດ</v>
          </cell>
          <cell r="BR90">
            <v>62</v>
          </cell>
          <cell r="BS90" t="str">
            <v>ໂພນສີໃຄ</v>
          </cell>
          <cell r="BT90" t="str">
            <v>ນະຄອນປາກເຊ</v>
          </cell>
          <cell r="BU90" t="str">
            <v>ຈໍາປາສັກ</v>
          </cell>
          <cell r="BV90" t="str">
            <v>ຊາວນາ</v>
          </cell>
          <cell r="BX90" t="str">
            <v>ວິລະວົງ ສຸກໂຄດ</v>
          </cell>
          <cell r="BY90">
            <v>34741</v>
          </cell>
          <cell r="BZ90" t="str">
            <v>ສະຜ່າຍ</v>
          </cell>
          <cell r="CA90" t="str">
            <v>ຊະນະສົມບູນ</v>
          </cell>
          <cell r="CB90" t="str">
            <v>ຈໍາປາສັກ</v>
          </cell>
          <cell r="CC90" t="str">
            <v>ພະນັກງານ</v>
          </cell>
          <cell r="CD90" t="str">
            <v>ສຸກສາລາ</v>
          </cell>
          <cell r="CE90">
            <v>0</v>
          </cell>
          <cell r="CF90">
            <v>22905851</v>
          </cell>
          <cell r="CH90" t="str">
            <v>ປົກຄອງ</v>
          </cell>
        </row>
        <row r="91">
          <cell r="G91" t="str">
            <v>ທ. ທອງຈັນ ເສົາສະຫວ່າງ</v>
          </cell>
          <cell r="H91" t="str">
            <v>ຮຕ</v>
          </cell>
          <cell r="I91" t="str">
            <v>ທອງ</v>
          </cell>
          <cell r="J91" t="str">
            <v>ຊາຍ</v>
          </cell>
          <cell r="K91">
            <v>34407</v>
          </cell>
          <cell r="L91" t="str">
            <v>31 ປີ</v>
          </cell>
          <cell r="M91">
            <v>45499</v>
          </cell>
          <cell r="O91" t="str">
            <v>ທົ່ງຖອນ</v>
          </cell>
          <cell r="P91" t="str">
            <v>ນາແລ</v>
          </cell>
          <cell r="Q91" t="str">
            <v>ຫຼວງນໍ້າທາ</v>
          </cell>
          <cell r="R91" t="str">
            <v>ພະຂາວ</v>
          </cell>
          <cell r="S91" t="str">
            <v>ໄຊທານີ</v>
          </cell>
          <cell r="T91" t="str">
            <v>ນະຄອນຫຼວງ</v>
          </cell>
          <cell r="U91" t="str">
            <v>857</v>
          </cell>
          <cell r="W91" t="str">
            <v>23</v>
          </cell>
          <cell r="X91" t="str">
            <v>01-24024097</v>
          </cell>
          <cell r="Y91" t="str">
            <v>ກຶມມຸ</v>
          </cell>
          <cell r="Z91" t="str">
            <v>ຜີ</v>
          </cell>
          <cell r="AA91" t="str">
            <v>ບໍ່ມີ</v>
          </cell>
          <cell r="AB91">
            <v>43824</v>
          </cell>
          <cell r="AC91">
            <v>43824</v>
          </cell>
          <cell r="AE91">
            <v>45783</v>
          </cell>
          <cell r="AF91" t="str">
            <v>206/ຄພ-ກມປສ</v>
          </cell>
          <cell r="AI91">
            <v>39552</v>
          </cell>
          <cell r="AM91" t="str">
            <v>ວິຊາການ</v>
          </cell>
          <cell r="AN91" t="str">
            <v>ມ 7</v>
          </cell>
          <cell r="AP91" t="str">
            <v>ຊສ</v>
          </cell>
          <cell r="AQ91" t="str">
            <v>ພາຍໃນ</v>
          </cell>
          <cell r="AR91" t="str">
            <v>ປ້ອງກັນພາຍໃນ</v>
          </cell>
          <cell r="AS91" t="str">
            <v>ກໍ່ສ້າງ</v>
          </cell>
          <cell r="AT91" t="str">
            <v>ວິທະຍາໄລ ສັນຕິບານ ປະຊາຊົນ ເລກII</v>
          </cell>
          <cell r="AU91" t="str">
            <v>2 ປີ</v>
          </cell>
          <cell r="AV91" t="str">
            <v>2022 - 2024</v>
          </cell>
          <cell r="BJ91" t="str">
            <v>ຈັນເສົາ</v>
          </cell>
          <cell r="BK91" t="str">
            <v>ຕ</v>
          </cell>
          <cell r="BQ91" t="str">
            <v>ເສົາ</v>
          </cell>
          <cell r="BR91" t="str">
            <v>ຕ</v>
          </cell>
          <cell r="CF91">
            <v>76721577</v>
          </cell>
          <cell r="CH91" t="str">
            <v>ສັນຕິບານ</v>
          </cell>
          <cell r="CI91">
            <v>45541</v>
          </cell>
          <cell r="CJ91" t="str">
            <v>636/ຫກມ</v>
          </cell>
        </row>
        <row r="92">
          <cell r="G92" t="str">
            <v>ທ. ສາຍຝົນ ໄຊຍະບິດຕະ</v>
          </cell>
          <cell r="H92" t="str">
            <v>ຮຕ</v>
          </cell>
          <cell r="J92" t="str">
            <v>ຊາຍ</v>
          </cell>
          <cell r="K92">
            <v>35587</v>
          </cell>
          <cell r="L92" t="str">
            <v>27 ປີ</v>
          </cell>
          <cell r="M92">
            <v>45182</v>
          </cell>
          <cell r="O92" t="str">
            <v>ແກັງເມືອງລາວ</v>
          </cell>
          <cell r="P92" t="str">
            <v>ສາລະວັນ</v>
          </cell>
          <cell r="Q92" t="str">
            <v>ສາລະວັນ</v>
          </cell>
          <cell r="R92" t="str">
            <v>ເທດສະບານ</v>
          </cell>
          <cell r="S92" t="str">
            <v>ຕະໂອ້ຍ</v>
          </cell>
          <cell r="T92" t="str">
            <v>ສາລະວັນ</v>
          </cell>
          <cell r="U92" t="str">
            <v>175</v>
          </cell>
          <cell r="V92" t="str">
            <v>15B</v>
          </cell>
          <cell r="X92" t="str">
            <v>ບໍ່ມີ</v>
          </cell>
          <cell r="Y92" t="str">
            <v>ລລ</v>
          </cell>
          <cell r="Z92" t="str">
            <v>ພຸດ</v>
          </cell>
          <cell r="AA92" t="str">
            <v>35630/ກພງ</v>
          </cell>
          <cell r="AB92">
            <v>44550</v>
          </cell>
          <cell r="AC92">
            <v>44550</v>
          </cell>
          <cell r="AI92">
            <v>40834</v>
          </cell>
          <cell r="AM92" t="str">
            <v>ວິຊາການ</v>
          </cell>
          <cell r="AN92" t="str">
            <v>ມ 7</v>
          </cell>
          <cell r="AW92" t="str">
            <v>ປຕ</v>
          </cell>
          <cell r="AY92" t="str">
            <v>ເສດຖະກິດກະສິກໍາ</v>
          </cell>
          <cell r="AZ92" t="str">
            <v>ກໍ່ສ້າງ</v>
          </cell>
          <cell r="BA92" t="str">
            <v>ຄະນະກະເສດສາດ</v>
          </cell>
          <cell r="BB92" t="str">
            <v>4 ປີ</v>
          </cell>
          <cell r="BC92" t="str">
            <v>2016 - 2020</v>
          </cell>
          <cell r="BJ92" t="str">
            <v>ຊອນ</v>
          </cell>
          <cell r="BK92">
            <v>56</v>
          </cell>
          <cell r="BL92" t="str">
            <v>ເທດສະບານ</v>
          </cell>
          <cell r="BM92" t="str">
            <v>ຕະໂອ້ຍ</v>
          </cell>
          <cell r="BN92" t="str">
            <v>ສາລະວັນ</v>
          </cell>
          <cell r="BO92" t="str">
            <v>ຄ້າຂາຍ</v>
          </cell>
          <cell r="BQ92" t="str">
            <v>ພູນ</v>
          </cell>
          <cell r="BR92">
            <v>50</v>
          </cell>
          <cell r="BS92" t="str">
            <v>ເທດສະບານ</v>
          </cell>
          <cell r="BT92" t="str">
            <v>ຕະໂອ້ຍ</v>
          </cell>
          <cell r="BU92" t="str">
            <v>ສາລະວັນ</v>
          </cell>
          <cell r="BV92" t="str">
            <v>ຄ້າຂາຍ</v>
          </cell>
          <cell r="CF92">
            <v>76951341</v>
          </cell>
          <cell r="CH92" t="str">
            <v>ປົກຄອງ</v>
          </cell>
        </row>
        <row r="93">
          <cell r="G93" t="str">
            <v>ທ. ຈັນທອນ ຫຼວງບໍລິບູນ</v>
          </cell>
          <cell r="H93" t="str">
            <v>ຮຕ</v>
          </cell>
          <cell r="I93" t="str">
            <v>ຕິກ</v>
          </cell>
          <cell r="J93" t="str">
            <v>ຊາຍ</v>
          </cell>
          <cell r="K93">
            <v>34153</v>
          </cell>
          <cell r="L93" t="str">
            <v>31 ປີ</v>
          </cell>
          <cell r="M93">
            <v>45182</v>
          </cell>
          <cell r="O93" t="str">
            <v>ເມີຍ</v>
          </cell>
          <cell r="P93" t="str">
            <v>ຈໍາປາສັກ</v>
          </cell>
          <cell r="Q93" t="str">
            <v>ຈໍາປາສັກ</v>
          </cell>
          <cell r="R93" t="str">
            <v>ໂນນສະຫງ່າ</v>
          </cell>
          <cell r="S93" t="str">
            <v>ໄຊເສດຖາ</v>
          </cell>
          <cell r="T93" t="str">
            <v>ນະຄອນຫຼວງ</v>
          </cell>
          <cell r="X93" t="str">
            <v>16-0280764</v>
          </cell>
          <cell r="Y93" t="str">
            <v>ລລ</v>
          </cell>
          <cell r="Z93" t="str">
            <v>ພຸດ</v>
          </cell>
          <cell r="AA93" t="str">
            <v>ບໍ່ມີ</v>
          </cell>
          <cell r="AB93">
            <v>44550</v>
          </cell>
          <cell r="AC93">
            <v>44550</v>
          </cell>
          <cell r="AI93">
            <v>40105</v>
          </cell>
          <cell r="AM93" t="str">
            <v>ວິຊາການ</v>
          </cell>
          <cell r="AN93" t="str">
            <v>ມ 7</v>
          </cell>
          <cell r="AP93" t="str">
            <v>ປຕ</v>
          </cell>
          <cell r="AR93" t="str">
            <v>ຄູພາສາລາວ-ວັນນະຄະດີ</v>
          </cell>
          <cell r="AS93" t="str">
            <v>ກໍ່ສ້າງ</v>
          </cell>
          <cell r="AT93" t="str">
            <v>ມະຫາວິທະຍາໄລຈໍາປາສັກ</v>
          </cell>
          <cell r="AU93" t="str">
            <v>4 ປີ</v>
          </cell>
          <cell r="AV93" t="str">
            <v>2014 - 2018</v>
          </cell>
          <cell r="BJ93" t="str">
            <v>ຂັນທະສັກ ຫຼວງບໍລິບູນ</v>
          </cell>
          <cell r="BK93">
            <v>57</v>
          </cell>
          <cell r="BL93" t="str">
            <v>ເມີຍ</v>
          </cell>
          <cell r="BM93" t="str">
            <v>ຈໍາປາສັກ</v>
          </cell>
          <cell r="BN93" t="str">
            <v>ຈໍາປາສັກ</v>
          </cell>
          <cell r="BO93" t="str">
            <v>ຄູ</v>
          </cell>
          <cell r="BQ93" t="str">
            <v>ຄໍາຂານ</v>
          </cell>
          <cell r="BR93">
            <v>47</v>
          </cell>
          <cell r="BS93" t="str">
            <v>ເມີຍ</v>
          </cell>
          <cell r="BT93" t="str">
            <v>ຈໍາປາສັກ</v>
          </cell>
          <cell r="BU93" t="str">
            <v>ຈໍາປາສັກ</v>
          </cell>
          <cell r="BV93" t="str">
            <v>ປະຊາຊົນ</v>
          </cell>
          <cell r="CF93">
            <v>55614790</v>
          </cell>
          <cell r="CH93" t="str">
            <v>ຕໍາຫຼວດ</v>
          </cell>
        </row>
        <row r="94">
          <cell r="G94" t="str">
            <v>ນ. ດາລີ່ ວິລາໄຊ</v>
          </cell>
          <cell r="H94" t="str">
            <v>ຮຕ</v>
          </cell>
          <cell r="I94" t="str">
            <v>ລີ່</v>
          </cell>
          <cell r="J94" t="str">
            <v>ຍິງ</v>
          </cell>
          <cell r="K94">
            <v>36972</v>
          </cell>
          <cell r="L94" t="str">
            <v>24 ປີ</v>
          </cell>
          <cell r="M94">
            <v>45513</v>
          </cell>
          <cell r="O94" t="str">
            <v>ນາໂພເໜືອ</v>
          </cell>
          <cell r="P94" t="str">
            <v>ໂພນໂຮງ</v>
          </cell>
          <cell r="Q94" t="str">
            <v>ວຽງຈັນ</v>
          </cell>
          <cell r="R94" t="str">
            <v>ນາໄຊ</v>
          </cell>
          <cell r="S94" t="str">
            <v>ໄຊເສດຖາ</v>
          </cell>
          <cell r="T94" t="str">
            <v>ນະຄອນຫຼວງ</v>
          </cell>
          <cell r="U94" t="str">
            <v>08</v>
          </cell>
          <cell r="V94" t="str">
            <v>13 ເໜືອ</v>
          </cell>
          <cell r="X94">
            <v>10014425</v>
          </cell>
          <cell r="Y94" t="str">
            <v>ລລ</v>
          </cell>
          <cell r="Z94" t="str">
            <v>ພຸດ</v>
          </cell>
          <cell r="AA94" t="str">
            <v>ບໍ່ມີ</v>
          </cell>
          <cell r="AB94">
            <v>43824</v>
          </cell>
          <cell r="AC94">
            <v>43824</v>
          </cell>
          <cell r="AE94">
            <v>45783</v>
          </cell>
          <cell r="AF94" t="str">
            <v>209/ຄພ-ກມປສ</v>
          </cell>
          <cell r="AI94">
            <v>42514</v>
          </cell>
          <cell r="AJ94">
            <v>43627</v>
          </cell>
          <cell r="AM94" t="str">
            <v>ຊ່ວຍວຽກ</v>
          </cell>
          <cell r="AN94" t="str">
            <v>ມ 7</v>
          </cell>
          <cell r="AP94" t="str">
            <v>ຊສ</v>
          </cell>
          <cell r="AQ94" t="str">
            <v>ພາຍໃນ</v>
          </cell>
          <cell r="AR94" t="str">
            <v>ຄຸ້ມຄອງລັດ</v>
          </cell>
          <cell r="AS94" t="str">
            <v>ກໍ່ສ້າງ</v>
          </cell>
          <cell r="AT94" t="str">
            <v>ວິທະຍາໄລ ສັນຕິບານ ປະຊາຊົນ ເລກI</v>
          </cell>
          <cell r="AU94" t="str">
            <v>2 ປີ</v>
          </cell>
          <cell r="AV94" t="str">
            <v>2022 - 2024</v>
          </cell>
          <cell r="BJ94" t="str">
            <v>ດອດ</v>
          </cell>
          <cell r="BK94" t="str">
            <v>ຕ</v>
          </cell>
          <cell r="BQ94" t="str">
            <v>ທີ</v>
          </cell>
          <cell r="BR94">
            <v>46</v>
          </cell>
          <cell r="BS94" t="str">
            <v>ນາໂພເໜືອ</v>
          </cell>
          <cell r="BT94" t="str">
            <v>ໂພນໂຮງ</v>
          </cell>
          <cell r="BU94" t="str">
            <v>ວຽງຈັນ</v>
          </cell>
          <cell r="BV94" t="str">
            <v>ປະຊາຊົນ</v>
          </cell>
          <cell r="CF94">
            <v>52115785</v>
          </cell>
          <cell r="CH94" t="str">
            <v>ສັນຕິບານ</v>
          </cell>
          <cell r="CI94">
            <v>45541</v>
          </cell>
          <cell r="CJ94" t="str">
            <v>636/ຫກມ</v>
          </cell>
        </row>
        <row r="95">
          <cell r="G95" t="str">
            <v>ທ. ລິນ ສີຫາລາດ</v>
          </cell>
          <cell r="H95" t="str">
            <v>ຮຕ</v>
          </cell>
          <cell r="J95" t="str">
            <v>ຊາຍ</v>
          </cell>
          <cell r="K95">
            <v>35127</v>
          </cell>
          <cell r="L95" t="str">
            <v>29 ປີ</v>
          </cell>
          <cell r="M95">
            <v>45657</v>
          </cell>
          <cell r="O95" t="str">
            <v>ທາດຫຼວງໃຕ້</v>
          </cell>
          <cell r="P95" t="str">
            <v>ໄຊເສດຖາ</v>
          </cell>
          <cell r="Q95" t="str">
            <v>ນະຄອນຫຼວງ</v>
          </cell>
          <cell r="R95" t="str">
            <v>ຄູນຄໍາ</v>
          </cell>
          <cell r="S95" t="str">
            <v>ຄູນຄໍາ</v>
          </cell>
          <cell r="T95" t="str">
            <v>ຄໍາມ່ວນ</v>
          </cell>
          <cell r="X95" t="str">
            <v>12-0080152</v>
          </cell>
          <cell r="Y95" t="str">
            <v>ລລ</v>
          </cell>
          <cell r="Z95" t="str">
            <v>ພຸດ</v>
          </cell>
          <cell r="AA95" t="str">
            <v>ບໍ່ມີ</v>
          </cell>
          <cell r="AB95">
            <v>44190</v>
          </cell>
          <cell r="AC95">
            <v>44190</v>
          </cell>
          <cell r="AI95">
            <v>40906</v>
          </cell>
          <cell r="AK95">
            <v>44101</v>
          </cell>
          <cell r="AM95" t="str">
            <v>ປຸງແຕ່ງ ອາຫານ</v>
          </cell>
          <cell r="AN95" t="str">
            <v>ມ 7</v>
          </cell>
          <cell r="AP95" t="str">
            <v>ຊສ</v>
          </cell>
          <cell r="AR95" t="str">
            <v>ອາຫານ-ການໂຮງແຮມ</v>
          </cell>
          <cell r="AS95" t="str">
            <v>ກໍ່ສ້າງ</v>
          </cell>
          <cell r="AT95" t="str">
            <v>ວິທະຍາໄລເຕັກນິກປາກປາສັກ</v>
          </cell>
          <cell r="AU95" t="str">
            <v>3 ປີ</v>
          </cell>
          <cell r="AV95" t="str">
            <v>2018 - 2020</v>
          </cell>
          <cell r="BJ95" t="str">
            <v>ໄຊ ສີຫາລາດ</v>
          </cell>
          <cell r="BK95">
            <v>66</v>
          </cell>
          <cell r="BL95" t="str">
            <v>ຄູນຄໍາ</v>
          </cell>
          <cell r="BM95" t="str">
            <v>ຄູນຄໍາ</v>
          </cell>
          <cell r="BN95" t="str">
            <v>ຄໍາມ່ວນ</v>
          </cell>
          <cell r="BO95" t="str">
            <v>ປະຊາຊົນ</v>
          </cell>
          <cell r="BQ95" t="str">
            <v>ສີວິໄຊ</v>
          </cell>
          <cell r="BR95">
            <v>54</v>
          </cell>
          <cell r="BS95" t="str">
            <v>ຄູນຄໍາ</v>
          </cell>
          <cell r="BT95" t="str">
            <v>ຄູນຄໍາ</v>
          </cell>
          <cell r="BU95" t="str">
            <v>ຄໍາມ່ວນ</v>
          </cell>
          <cell r="BV95" t="str">
            <v>ປະຊາຊົນ</v>
          </cell>
          <cell r="BX95" t="str">
            <v>ອຸ່ນລໍ້າ ແກ້ວວົງໄຊ</v>
          </cell>
          <cell r="BY95">
            <v>35126</v>
          </cell>
          <cell r="BZ95" t="str">
            <v>ຄູນຄໍາ</v>
          </cell>
          <cell r="CA95" t="str">
            <v>ຄູນຄໍາ</v>
          </cell>
          <cell r="CB95" t="str">
            <v>ຄໍາມ່ວນ</v>
          </cell>
          <cell r="CC95" t="str">
            <v>ຄູລ້ຽງເດັກ</v>
          </cell>
          <cell r="CD95" t="str">
            <v>ໂຮງຮຽນດາລາພອນ</v>
          </cell>
          <cell r="CF95">
            <v>54684488</v>
          </cell>
          <cell r="CH95" t="str">
            <v>ປົກຄອງ</v>
          </cell>
        </row>
        <row r="96">
          <cell r="G96" t="str">
            <v>ທ. ບຸນຍົດ ດວງບຸດດີ</v>
          </cell>
          <cell r="H96" t="str">
            <v>ຮຕ</v>
          </cell>
          <cell r="I96" t="str">
            <v>ຍົດ</v>
          </cell>
          <cell r="J96" t="str">
            <v>ຊາຍ</v>
          </cell>
          <cell r="K96">
            <v>36260</v>
          </cell>
          <cell r="L96" t="str">
            <v>26 ປີ</v>
          </cell>
          <cell r="M96">
            <v>45513</v>
          </cell>
          <cell r="O96" t="str">
            <v>ສະໄກ</v>
          </cell>
          <cell r="P96" t="str">
            <v>ສັງທອງ</v>
          </cell>
          <cell r="Q96" t="str">
            <v>ນະຄອນຫຼວງ</v>
          </cell>
          <cell r="R96" t="str">
            <v>ສີຫອມ</v>
          </cell>
          <cell r="S96" t="str">
            <v>ຈັນທະບູລີ</v>
          </cell>
          <cell r="T96" t="str">
            <v>ວຽງຈັນ</v>
          </cell>
          <cell r="X96" t="str">
            <v>ບໍ່ມີ</v>
          </cell>
          <cell r="Y96" t="str">
            <v>ລລ</v>
          </cell>
          <cell r="Z96" t="str">
            <v>ພຸດ</v>
          </cell>
          <cell r="AA96" t="str">
            <v>ບໍ່ມີ</v>
          </cell>
          <cell r="AB96">
            <v>43824</v>
          </cell>
          <cell r="AC96">
            <v>43824</v>
          </cell>
          <cell r="AE96">
            <v>45783</v>
          </cell>
          <cell r="AF96" t="str">
            <v>208/ຄພ-ກມປສ</v>
          </cell>
          <cell r="AI96">
            <v>43530</v>
          </cell>
          <cell r="AM96" t="str">
            <v>ຂັບລົດ</v>
          </cell>
          <cell r="AN96" t="str">
            <v>ມ 7</v>
          </cell>
          <cell r="AP96" t="str">
            <v>ຊສ</v>
          </cell>
          <cell r="AQ96" t="str">
            <v>ພາຍໃນ</v>
          </cell>
          <cell r="AR96" t="str">
            <v>ພາຍໃນ</v>
          </cell>
          <cell r="AS96" t="str">
            <v>ກໍ່ສ້າງ</v>
          </cell>
          <cell r="AT96" t="str">
            <v>ວິທະຍາໄລ ສັນຕິບານ ປະຊາຊົນ ເລກI</v>
          </cell>
          <cell r="AU96" t="str">
            <v>2 ປີ</v>
          </cell>
          <cell r="AV96" t="str">
            <v>2023 - 2024</v>
          </cell>
          <cell r="BJ96" t="str">
            <v>ພູວົງ</v>
          </cell>
          <cell r="BK96">
            <v>60</v>
          </cell>
          <cell r="BL96" t="str">
            <v>ສະໄກ</v>
          </cell>
          <cell r="BM96" t="str">
            <v>ສັງທອງ</v>
          </cell>
          <cell r="BN96" t="str">
            <v>ນະຄອນຫຼວງ</v>
          </cell>
          <cell r="BO96" t="str">
            <v>ປະຊາຊົນ</v>
          </cell>
          <cell r="BQ96" t="str">
            <v>ບົວທອງ</v>
          </cell>
          <cell r="BR96">
            <v>58</v>
          </cell>
          <cell r="BS96" t="str">
            <v>ສະໄກ</v>
          </cell>
          <cell r="BT96" t="str">
            <v>ສັງທອງ</v>
          </cell>
          <cell r="BU96" t="str">
            <v>ນະຄອນຫຼວງ</v>
          </cell>
          <cell r="BV96" t="str">
            <v>ປະຊາຊົນ</v>
          </cell>
          <cell r="CF96">
            <v>93472556</v>
          </cell>
          <cell r="CH96" t="str">
            <v>ສັນຕິບານ</v>
          </cell>
          <cell r="CI96">
            <v>45541</v>
          </cell>
          <cell r="CJ96" t="str">
            <v>636/ຫກມ</v>
          </cell>
        </row>
        <row r="97">
          <cell r="G97" t="str">
            <v>ນ. ປາຖະນາ ອຸ່ນທະວີຄຳ</v>
          </cell>
          <cell r="H97" t="str">
            <v>ວທ</v>
          </cell>
          <cell r="J97" t="str">
            <v>ຍິງ</v>
          </cell>
          <cell r="K97">
            <v>36544</v>
          </cell>
          <cell r="L97" t="str">
            <v>25 ປີ</v>
          </cell>
          <cell r="M97">
            <v>45182</v>
          </cell>
          <cell r="O97" t="str">
            <v>ໂພນແກ້ວ</v>
          </cell>
          <cell r="P97" t="str">
            <v>ຜົ້ງສາລີ</v>
          </cell>
          <cell r="Q97" t="str">
            <v>ຜົ້ງສາລີ</v>
          </cell>
          <cell r="R97" t="str">
            <v>ແສງສະຫ່ວາງ</v>
          </cell>
          <cell r="S97" t="str">
            <v>ໄຊເສດຖາ</v>
          </cell>
          <cell r="T97" t="str">
            <v>ນະຄອນຫຼວງ</v>
          </cell>
          <cell r="U97" t="str">
            <v>879</v>
          </cell>
          <cell r="W97" t="str">
            <v>28/1</v>
          </cell>
          <cell r="X97" t="str">
            <v>02-20004138</v>
          </cell>
          <cell r="Y97" t="str">
            <v>ພູນ້ອຍ</v>
          </cell>
          <cell r="Z97" t="str">
            <v>ພຸດ</v>
          </cell>
          <cell r="AA97" t="str">
            <v>ບໍ່ມີ</v>
          </cell>
          <cell r="AB97">
            <v>44550</v>
          </cell>
          <cell r="AC97">
            <v>44550</v>
          </cell>
          <cell r="AI97">
            <v>42058</v>
          </cell>
          <cell r="AJ97">
            <v>42055</v>
          </cell>
          <cell r="AK97">
            <v>44048</v>
          </cell>
          <cell r="AL97" t="str">
            <v>ສະມາຊິກສໍາຮອງ</v>
          </cell>
          <cell r="AM97" t="str">
            <v>ວິຊາການ</v>
          </cell>
          <cell r="AN97" t="str">
            <v>ມ 7</v>
          </cell>
          <cell r="AP97" t="str">
            <v>ຊສ</v>
          </cell>
          <cell r="AR97" t="str">
            <v>ໄອຊີທີ</v>
          </cell>
          <cell r="AS97" t="str">
            <v>ກໍ່ສ້າງ</v>
          </cell>
          <cell r="AT97" t="str">
            <v>ສະຖາບັນເຕັກໂນໂລຊີ</v>
          </cell>
          <cell r="AU97" t="str">
            <v>3 ປີ</v>
          </cell>
          <cell r="AV97" t="str">
            <v>2017 - 2020</v>
          </cell>
          <cell r="BJ97" t="str">
            <v>ບຸນຄໍາ ອຸ່ນທະວີຄໍາ</v>
          </cell>
          <cell r="BK97">
            <v>50</v>
          </cell>
          <cell r="BL97" t="str">
            <v>ໂພນແກ້ວ</v>
          </cell>
          <cell r="BM97" t="str">
            <v>ຜົ້ງສາລີ</v>
          </cell>
          <cell r="BN97" t="str">
            <v>ຜົ້ງສາລີ</v>
          </cell>
          <cell r="BO97" t="str">
            <v>ປະຊາຊົນ</v>
          </cell>
          <cell r="BQ97" t="str">
            <v>ສີມົນ ອຸ່ນທະວີຄໍາ</v>
          </cell>
          <cell r="BR97">
            <v>48</v>
          </cell>
          <cell r="BS97" t="str">
            <v>ໂພນແກ້ວ</v>
          </cell>
          <cell r="BT97" t="str">
            <v>ຜົ້ງສາລີ</v>
          </cell>
          <cell r="BU97" t="str">
            <v>ຜົ້ງສາລີ</v>
          </cell>
          <cell r="BV97" t="str">
            <v>ປະຊາຊົນ</v>
          </cell>
          <cell r="CF97">
            <v>54992282</v>
          </cell>
          <cell r="CH97" t="str">
            <v>ປົກຄອງ</v>
          </cell>
        </row>
        <row r="98">
          <cell r="G98" t="str">
            <v xml:space="preserve">ນ. ມະນີສອນ ອິນທິລາດ </v>
          </cell>
          <cell r="H98" t="str">
            <v>ວທ</v>
          </cell>
          <cell r="I98" t="str">
            <v>ຊັນນີ່</v>
          </cell>
          <cell r="J98" t="str">
            <v>ຍິງ</v>
          </cell>
          <cell r="K98">
            <v>34802</v>
          </cell>
          <cell r="L98" t="str">
            <v>30 ປີ</v>
          </cell>
          <cell r="M98">
            <v>44568</v>
          </cell>
          <cell r="O98" t="str">
            <v>ດອນໜູນ</v>
          </cell>
          <cell r="P98" t="str">
            <v>ໄຊທານີ</v>
          </cell>
          <cell r="Q98" t="str">
            <v>ນະຄອນຫຼວງ</v>
          </cell>
          <cell r="R98" t="str">
            <v>ດອນໜູນ</v>
          </cell>
          <cell r="S98" t="str">
            <v>ໄຊທານີ</v>
          </cell>
          <cell r="T98" t="str">
            <v>ນະຄອນຫຼວງ</v>
          </cell>
          <cell r="U98" t="str">
            <v>937</v>
          </cell>
          <cell r="W98" t="str">
            <v>12</v>
          </cell>
          <cell r="X98" t="str">
            <v>01-22010226</v>
          </cell>
          <cell r="Y98" t="str">
            <v>ລລ</v>
          </cell>
          <cell r="Z98" t="str">
            <v>ພຸດ</v>
          </cell>
          <cell r="AA98" t="str">
            <v>ບໍ່ມີ</v>
          </cell>
          <cell r="AB98">
            <v>43824</v>
          </cell>
          <cell r="AC98">
            <v>43824</v>
          </cell>
          <cell r="AE98">
            <v>45623</v>
          </cell>
          <cell r="AI98">
            <v>41431</v>
          </cell>
          <cell r="AJ98">
            <v>41419</v>
          </cell>
          <cell r="AL98" t="str">
            <v>ສະມາຊິກສໍາຮອງ</v>
          </cell>
          <cell r="AM98" t="str">
            <v>ວິຊາການ</v>
          </cell>
          <cell r="AN98" t="str">
            <v>ມ 7</v>
          </cell>
          <cell r="AP98" t="str">
            <v>ຊສ</v>
          </cell>
          <cell r="AR98" t="str">
            <v>ບັນຊີການເງິນ</v>
          </cell>
          <cell r="AS98" t="str">
            <v>ກໍ່ສ້າງ</v>
          </cell>
          <cell r="AT98" t="str">
            <v>ວິທະຍາໄລເສດຖາບໍລິຫານທຸລະກິດ</v>
          </cell>
          <cell r="AU98" t="str">
            <v>3 ປີ</v>
          </cell>
          <cell r="AV98" t="str">
            <v>2014 - 2016</v>
          </cell>
          <cell r="BJ98" t="str">
            <v>ສົມຍົດ ອິນທິລາດ</v>
          </cell>
          <cell r="BK98">
            <v>61</v>
          </cell>
          <cell r="BL98" t="str">
            <v>ດອນໜູນ</v>
          </cell>
          <cell r="BM98" t="str">
            <v>ໄຊທານີ</v>
          </cell>
          <cell r="BN98" t="str">
            <v>ນະຄອນຫຼວງ</v>
          </cell>
          <cell r="BO98" t="str">
            <v>ພະນັກງານ</v>
          </cell>
          <cell r="BP98" t="str">
            <v>ບໍລິສັດລັດວິສະຫະກິດຫວຍພັດທະນາ</v>
          </cell>
          <cell r="BQ98" t="str">
            <v>ສົມພອນ</v>
          </cell>
          <cell r="BR98">
            <v>56</v>
          </cell>
          <cell r="BS98" t="str">
            <v>ດອນໜູນ</v>
          </cell>
          <cell r="BT98" t="str">
            <v>ໄຊທານີ</v>
          </cell>
          <cell r="BU98" t="str">
            <v>ນະຄອນຫຼວງ</v>
          </cell>
          <cell r="BV98" t="str">
            <v>ພະນັກງານ ບໍານານ</v>
          </cell>
          <cell r="CF98">
            <v>57248596</v>
          </cell>
          <cell r="CH98" t="str">
            <v>ປກສ</v>
          </cell>
        </row>
        <row r="99">
          <cell r="G99" t="str">
            <v>ທ. ກຸມພາ ເລືອງທອງໃສ</v>
          </cell>
          <cell r="H99" t="str">
            <v>ວທ</v>
          </cell>
          <cell r="J99" t="str">
            <v>ຊາຍ</v>
          </cell>
          <cell r="K99">
            <v>35838</v>
          </cell>
          <cell r="L99" t="str">
            <v>27 ປີ</v>
          </cell>
          <cell r="M99">
            <v>45182</v>
          </cell>
          <cell r="O99" t="str">
            <v>ນໍ້າແງ້ນ</v>
          </cell>
          <cell r="P99" t="str">
            <v>ຫຼວງນໍ້າທາ</v>
          </cell>
          <cell r="Q99" t="str">
            <v>ຫຼວງນໍ້າທາ</v>
          </cell>
          <cell r="R99" t="str">
            <v>ນໍ້າແງ້ນ</v>
          </cell>
          <cell r="S99" t="str">
            <v>ຫຼວງນໍ້າທາ</v>
          </cell>
          <cell r="T99" t="str">
            <v>ຫຼວງນໍ້າທາ</v>
          </cell>
          <cell r="U99" t="str">
            <v>258</v>
          </cell>
          <cell r="X99" t="str">
            <v>03-20002455</v>
          </cell>
          <cell r="Y99" t="str">
            <v>ໄຕ໋ແດງ</v>
          </cell>
          <cell r="Z99" t="str">
            <v>ຜີ</v>
          </cell>
          <cell r="AB99">
            <v>44550</v>
          </cell>
          <cell r="AC99">
            <v>44550</v>
          </cell>
          <cell r="AI99">
            <v>41721</v>
          </cell>
          <cell r="AM99" t="str">
            <v>ວິຊາການ</v>
          </cell>
          <cell r="AN99" t="str">
            <v>ມ 7</v>
          </cell>
          <cell r="AP99" t="str">
            <v>ຊສ</v>
          </cell>
          <cell r="AR99" t="str">
            <v>ລ້ຽງສັດ</v>
          </cell>
          <cell r="AS99" t="str">
            <v>ກໍ່ສ້າງ</v>
          </cell>
          <cell r="AT99" t="str">
            <v>ເຕັກນິກວິຊາຊີບແບບປະສົມ ແຂວງຫຼວງນໍ້າທາ</v>
          </cell>
          <cell r="AU99" t="str">
            <v>3 ປີ</v>
          </cell>
          <cell r="AV99" t="str">
            <v>2016 - 2019</v>
          </cell>
          <cell r="BJ99" t="str">
            <v>ອໍ໋າ</v>
          </cell>
          <cell r="BK99">
            <v>51</v>
          </cell>
          <cell r="BL99" t="str">
            <v>ນໍ້າແງ້ນ</v>
          </cell>
          <cell r="BM99" t="str">
            <v>ຫຼວງນໍ້າທາ</v>
          </cell>
          <cell r="BN99" t="str">
            <v>ຫຼວງນໍ້າທາ</v>
          </cell>
          <cell r="BO99" t="str">
            <v>ຊາວນາ</v>
          </cell>
          <cell r="BP99" t="str">
            <v xml:space="preserve"> </v>
          </cell>
          <cell r="BQ99" t="str">
            <v>ພິນ</v>
          </cell>
          <cell r="BR99">
            <v>52</v>
          </cell>
          <cell r="BS99" t="str">
            <v>ນໍ້າແງ້ນ</v>
          </cell>
          <cell r="BT99" t="str">
            <v>ຫຼວງນໍ້າທາ</v>
          </cell>
          <cell r="BU99" t="str">
            <v>ຫຼວງນໍ້າທາ</v>
          </cell>
          <cell r="BV99" t="str">
            <v>ຊາວນາ</v>
          </cell>
          <cell r="CF99">
            <v>28780653</v>
          </cell>
          <cell r="CH99" t="str">
            <v>ປົກຄອງ</v>
          </cell>
        </row>
        <row r="100">
          <cell r="G100" t="str">
            <v>ນ. ຈັນທະພອນ ບຸນເຮືອງ</v>
          </cell>
          <cell r="H100" t="str">
            <v>ວທ</v>
          </cell>
          <cell r="I100" t="str">
            <v>ປຽກ</v>
          </cell>
          <cell r="J100" t="str">
            <v>ຍິງ</v>
          </cell>
          <cell r="K100">
            <v>34778</v>
          </cell>
          <cell r="L100" t="str">
            <v>30 ປີ</v>
          </cell>
          <cell r="M100">
            <v>45183</v>
          </cell>
          <cell r="O100" t="str">
            <v>ນາແຊງ</v>
          </cell>
          <cell r="P100" t="str">
            <v>ເຟືອງ</v>
          </cell>
          <cell r="Q100" t="str">
            <v>ວຽງຈັນ</v>
          </cell>
          <cell r="R100" t="str">
            <v>ນາແຊງ</v>
          </cell>
          <cell r="S100" t="str">
            <v>ເຟືອງ</v>
          </cell>
          <cell r="T100" t="str">
            <v>ວຽງຈັນ</v>
          </cell>
          <cell r="U100" t="str">
            <v>006</v>
          </cell>
          <cell r="X100" t="str">
            <v>10-0140269</v>
          </cell>
          <cell r="Y100" t="str">
            <v>ລລ</v>
          </cell>
          <cell r="Z100" t="str">
            <v>ພຸດ</v>
          </cell>
          <cell r="AA100" t="str">
            <v>ບໍ່ມີ</v>
          </cell>
          <cell r="AB100">
            <v>44550</v>
          </cell>
          <cell r="AC100">
            <v>44550</v>
          </cell>
          <cell r="AI100">
            <v>40638</v>
          </cell>
          <cell r="AJ100">
            <v>40972</v>
          </cell>
          <cell r="AM100" t="str">
            <v>ວິຊາການ</v>
          </cell>
          <cell r="AN100" t="str">
            <v>ມ 7</v>
          </cell>
          <cell r="AP100" t="str">
            <v>ຊສ</v>
          </cell>
          <cell r="AR100" t="str">
            <v>ປູກຟັງ</v>
          </cell>
          <cell r="AS100" t="str">
            <v>ກໍ່ສ້າງ</v>
          </cell>
          <cell r="AT100" t="str">
            <v>ເຕັກນິກກະສິກໍາດົງຄໍາຊ້າງ</v>
          </cell>
          <cell r="AU100" t="str">
            <v>3 ປີ</v>
          </cell>
          <cell r="AV100" t="str">
            <v>2014 - 2017</v>
          </cell>
          <cell r="BJ100" t="str">
            <v>ພົມມາ</v>
          </cell>
          <cell r="BK100" t="str">
            <v>ຕ</v>
          </cell>
          <cell r="BQ100" t="str">
            <v>ວັນ</v>
          </cell>
          <cell r="BR100" t="str">
            <v>ຕ</v>
          </cell>
          <cell r="BX100" t="str">
            <v>ເຄ່</v>
          </cell>
          <cell r="BY100">
            <v>33598</v>
          </cell>
          <cell r="BZ100" t="str">
            <v>ນາດາວ</v>
          </cell>
          <cell r="CA100" t="str">
            <v>ວັງວຽງ</v>
          </cell>
          <cell r="CB100" t="str">
            <v>ວຽງຈັນ</v>
          </cell>
          <cell r="CC100" t="str">
            <v>ຂັບລົດ</v>
          </cell>
          <cell r="CD100" t="str">
            <v>ບໍລິສັດກໍ່ສ້າງທາງລົດໄຟ</v>
          </cell>
          <cell r="CE100">
            <v>0</v>
          </cell>
          <cell r="CF100">
            <v>98350072</v>
          </cell>
          <cell r="CH100" t="str">
            <v>ປົກຄອງ</v>
          </cell>
        </row>
        <row r="101">
          <cell r="G101" t="str">
            <v>ນ. ດວງກາມົນ ພູນສະຫວັດ</v>
          </cell>
          <cell r="H101" t="str">
            <v>ວທ</v>
          </cell>
          <cell r="I101" t="str">
            <v>ໜີງ</v>
          </cell>
          <cell r="J101" t="str">
            <v>ຍິງ</v>
          </cell>
          <cell r="K101">
            <v>35653</v>
          </cell>
          <cell r="L101" t="str">
            <v>27 ປີ</v>
          </cell>
          <cell r="M101">
            <v>44860</v>
          </cell>
          <cell r="O101" t="str">
            <v>ສີສັງວອນ</v>
          </cell>
          <cell r="P101" t="str">
            <v>ໄຊເສດຖາ</v>
          </cell>
          <cell r="Q101" t="str">
            <v>ນະຄອນຫຼວງ</v>
          </cell>
          <cell r="R101" t="str">
            <v>ໂນນສະຫງ່າ</v>
          </cell>
          <cell r="S101" t="str">
            <v>ໄຊເສດຖາ</v>
          </cell>
          <cell r="T101" t="str">
            <v>ນະຄອນຫຼວງ</v>
          </cell>
          <cell r="U101" t="str">
            <v>344</v>
          </cell>
          <cell r="W101" t="str">
            <v>09</v>
          </cell>
          <cell r="X101" t="str">
            <v>01-24070550</v>
          </cell>
          <cell r="Y101" t="str">
            <v>ລລ</v>
          </cell>
          <cell r="Z101" t="str">
            <v>ພຸດ</v>
          </cell>
          <cell r="AA101" t="str">
            <v>ບໍ່ມີ</v>
          </cell>
          <cell r="AB101">
            <v>44190</v>
          </cell>
          <cell r="AC101">
            <v>44190</v>
          </cell>
          <cell r="AI101">
            <v>40898</v>
          </cell>
          <cell r="AJ101">
            <v>42159</v>
          </cell>
          <cell r="AM101" t="str">
            <v>ວິຊາການ</v>
          </cell>
          <cell r="AN101" t="str">
            <v>ມ 7</v>
          </cell>
          <cell r="AP101" t="str">
            <v>ປຕ</v>
          </cell>
          <cell r="AR101" t="str">
            <v>ການເງິນແຫ່ງລັດ</v>
          </cell>
          <cell r="AS101" t="str">
            <v>ເຊື່ອມຕໍ່</v>
          </cell>
          <cell r="AT101" t="str">
            <v>ສະຖາບັນການເງິນດົງຄໍາຊ້າງ</v>
          </cell>
          <cell r="AU101" t="str">
            <v>2 ປີ</v>
          </cell>
          <cell r="AV101" t="str">
            <v>2018 - 2021</v>
          </cell>
          <cell r="BJ101" t="str">
            <v>ຫົງທອງ ພູນສະຫວັນ</v>
          </cell>
          <cell r="BK101">
            <v>64</v>
          </cell>
          <cell r="BL101" t="str">
            <v>ໂນນສະຫງ່າ</v>
          </cell>
          <cell r="BM101" t="str">
            <v>ໄຊທານີ</v>
          </cell>
          <cell r="BN101" t="str">
            <v>ນະຄອນຫຼວງ</v>
          </cell>
          <cell r="BO101" t="str">
            <v>ບໍານານ</v>
          </cell>
          <cell r="BQ101" t="str">
            <v>ບົວພາ ອຸດວງວິໄລ</v>
          </cell>
          <cell r="BR101">
            <v>61</v>
          </cell>
          <cell r="BS101" t="str">
            <v>ໂນນສະຫງ່າ</v>
          </cell>
          <cell r="BT101" t="str">
            <v>ໄຊທານີ</v>
          </cell>
          <cell r="BU101" t="str">
            <v>ນະຄອນຫຼວງ</v>
          </cell>
          <cell r="BV101" t="str">
            <v>ບໍານານ</v>
          </cell>
          <cell r="CF101">
            <v>52888868</v>
          </cell>
          <cell r="CH101" t="str">
            <v>ປົກຄອງ</v>
          </cell>
        </row>
        <row r="102">
          <cell r="G102" t="str">
            <v>ນ. ທິບພາວັນ ຜິວເຂັມພອນ</v>
          </cell>
          <cell r="H102" t="str">
            <v>ວທ</v>
          </cell>
          <cell r="J102" t="str">
            <v>ຍິງ</v>
          </cell>
          <cell r="K102">
            <v>36016</v>
          </cell>
          <cell r="L102" t="str">
            <v>26 ປີ</v>
          </cell>
          <cell r="M102">
            <v>45182</v>
          </cell>
          <cell r="O102" t="str">
            <v>ໂພນສະຫວ່າງ</v>
          </cell>
          <cell r="P102" t="str">
            <v>ສີສັດຕະນາກ</v>
          </cell>
          <cell r="Q102" t="str">
            <v>ນະຄອນຫຼວງ</v>
          </cell>
          <cell r="R102" t="str">
            <v>ໂພນສະຫວ່າງ</v>
          </cell>
          <cell r="S102" t="str">
            <v>ສີສັດຕະນາກ</v>
          </cell>
          <cell r="T102" t="str">
            <v>ນະຄອນຫຼວງ</v>
          </cell>
          <cell r="U102" t="str">
            <v>426</v>
          </cell>
          <cell r="W102" t="str">
            <v>01</v>
          </cell>
          <cell r="X102" t="str">
            <v>ບໍ່ມີ</v>
          </cell>
          <cell r="Y102" t="str">
            <v>ລລ</v>
          </cell>
          <cell r="Z102" t="str">
            <v>ພຸດ</v>
          </cell>
          <cell r="AA102" t="str">
            <v>ບໍ່ມີ</v>
          </cell>
          <cell r="AB102">
            <v>44550</v>
          </cell>
          <cell r="AC102">
            <v>44550</v>
          </cell>
          <cell r="AI102">
            <v>42112</v>
          </cell>
          <cell r="AJ102">
            <v>42453</v>
          </cell>
          <cell r="AM102" t="str">
            <v>ຊ່ວຍວຽກ</v>
          </cell>
          <cell r="AN102" t="str">
            <v>ມ 7</v>
          </cell>
          <cell r="AP102" t="str">
            <v>ຊສ</v>
          </cell>
          <cell r="AR102" t="str">
            <v>ການເງິນ-ການບັນຊີ</v>
          </cell>
          <cell r="AS102" t="str">
            <v>ກໍ່ສ້າງ</v>
          </cell>
          <cell r="AT102" t="str">
            <v>ສະຖາບັນການເງິນ</v>
          </cell>
          <cell r="AU102" t="str">
            <v>2 ປີ</v>
          </cell>
          <cell r="AV102" t="str">
            <v>2016 - 2019</v>
          </cell>
          <cell r="BJ102" t="str">
            <v>ຫຸມພັນ ຜິວເຂັມພອນ</v>
          </cell>
          <cell r="BK102">
            <v>59</v>
          </cell>
          <cell r="BL102" t="str">
            <v>ໂພນສະຫວ່າງ</v>
          </cell>
          <cell r="BM102" t="str">
            <v>ສີສັດຕະນກ</v>
          </cell>
          <cell r="BN102" t="str">
            <v>ນະຄອນຫຼວງ</v>
          </cell>
          <cell r="BO102" t="str">
            <v>ພະນັກງານ</v>
          </cell>
          <cell r="BP102" t="str">
            <v>ກົມໃຫຍ່ການເມືອງ</v>
          </cell>
          <cell r="BQ102" t="str">
            <v>ລີ ຜິວເຂັມພອນ</v>
          </cell>
          <cell r="BR102">
            <v>50</v>
          </cell>
          <cell r="BS102" t="str">
            <v>ໂພນສະຫວ່າງ</v>
          </cell>
          <cell r="BT102" t="str">
            <v>ສີສັດຕະນາກ</v>
          </cell>
          <cell r="BU102" t="str">
            <v>ນະຄອນຫຼວງ</v>
          </cell>
          <cell r="BV102" t="str">
            <v>ແມ່ເຮືອນ</v>
          </cell>
          <cell r="CF102">
            <v>99722944</v>
          </cell>
          <cell r="CH102" t="str">
            <v>ປົກຄອງ</v>
          </cell>
        </row>
        <row r="103">
          <cell r="G103" t="str">
            <v>ນ. ນ້ອຍ ພັນທະວົງ</v>
          </cell>
          <cell r="H103" t="str">
            <v>ວທ</v>
          </cell>
          <cell r="I103" t="str">
            <v>ນ້ອຍ</v>
          </cell>
          <cell r="J103" t="str">
            <v>ຍິງ</v>
          </cell>
          <cell r="K103">
            <v>36876</v>
          </cell>
          <cell r="L103" t="str">
            <v>24 ປີ</v>
          </cell>
          <cell r="M103">
            <v>45618</v>
          </cell>
          <cell r="O103" t="str">
            <v>ໂພຄໍາ</v>
          </cell>
          <cell r="P103" t="str">
            <v>ກາສີ</v>
          </cell>
          <cell r="Q103" t="str">
            <v>ວຽງຈັນ</v>
          </cell>
          <cell r="R103" t="str">
            <v>ໂນນແສງຈັນ</v>
          </cell>
          <cell r="S103" t="str">
            <v>ໄຊທານີ</v>
          </cell>
          <cell r="T103" t="str">
            <v>ນະຄອນຫຼວງ</v>
          </cell>
          <cell r="U103" t="str">
            <v>192</v>
          </cell>
          <cell r="W103" t="str">
            <v>05</v>
          </cell>
          <cell r="X103" t="str">
            <v>ບໍ່ມີ</v>
          </cell>
          <cell r="Y103" t="str">
            <v>ລລ</v>
          </cell>
          <cell r="Z103" t="str">
            <v>ພຸດ</v>
          </cell>
          <cell r="AA103" t="str">
            <v>ບໍ່ມີ</v>
          </cell>
          <cell r="AB103">
            <v>44190</v>
          </cell>
          <cell r="AC103">
            <v>44190</v>
          </cell>
          <cell r="AI103">
            <v>42128</v>
          </cell>
          <cell r="AJ103">
            <v>41733</v>
          </cell>
          <cell r="AK103">
            <v>44041</v>
          </cell>
          <cell r="AM103" t="str">
            <v>ປຸງແຕ່ງ ອາຫານ</v>
          </cell>
          <cell r="AN103" t="str">
            <v>ມ 7</v>
          </cell>
          <cell r="AP103" t="str">
            <v>ຊກ</v>
          </cell>
          <cell r="AR103" t="str">
            <v>ອາຫານ-ການໂຮງແຮມ</v>
          </cell>
          <cell r="AS103" t="str">
            <v>ກໍ່ສ້າງ</v>
          </cell>
          <cell r="AT103" t="str">
            <v>ວິທະຍາໄລເຕັກນິກປາກປາສັກ</v>
          </cell>
          <cell r="AU103" t="str">
            <v>2 ປີ</v>
          </cell>
          <cell r="AV103" t="str">
            <v>2019 - 2020</v>
          </cell>
          <cell r="BJ103" t="str">
            <v>ອ່ອນ</v>
          </cell>
          <cell r="BK103">
            <v>68</v>
          </cell>
          <cell r="BL103" t="str">
            <v>ໂພຄໍາ</v>
          </cell>
          <cell r="BM103" t="str">
            <v>ກາສີ</v>
          </cell>
          <cell r="BN103" t="str">
            <v>ວຽງຈັນ</v>
          </cell>
          <cell r="BO103" t="str">
            <v>ປະຊາຊົນ</v>
          </cell>
          <cell r="BQ103" t="str">
            <v>ເຜີຍ</v>
          </cell>
          <cell r="BR103">
            <v>60</v>
          </cell>
          <cell r="BS103" t="str">
            <v>ໂພຄໍາ</v>
          </cell>
          <cell r="BT103" t="str">
            <v>ກາສີ</v>
          </cell>
          <cell r="BU103" t="str">
            <v>ວຽງຈັນ</v>
          </cell>
          <cell r="BV103" t="str">
            <v>ປະຊາຊົນ</v>
          </cell>
          <cell r="BX103" t="str">
            <v>ບຸນເລື່ອມ ທໍາມະວົງ</v>
          </cell>
          <cell r="BY103">
            <v>31664</v>
          </cell>
          <cell r="BZ103" t="str">
            <v>ໂນນແສງຈັນ</v>
          </cell>
          <cell r="CA103" t="str">
            <v>ໄຊທານີ</v>
          </cell>
          <cell r="CB103" t="str">
            <v>ນະຄອນຫຼວງ</v>
          </cell>
          <cell r="CC103" t="str">
            <v>ພະນັກງານ</v>
          </cell>
          <cell r="CD103" t="str">
            <v>ວິທະຍາຄານການເມືອງ</v>
          </cell>
          <cell r="CE103">
            <v>1</v>
          </cell>
          <cell r="CF103">
            <v>93377060</v>
          </cell>
          <cell r="CH103" t="str">
            <v>ສັນຕິບານ</v>
          </cell>
        </row>
        <row r="104">
          <cell r="G104" t="str">
            <v>ນ. ພຸດທະສອນ ຂັນຕິວົງ</v>
          </cell>
          <cell r="H104" t="str">
            <v>ວທ</v>
          </cell>
          <cell r="I104" t="str">
            <v>ຫຼ້າ</v>
          </cell>
          <cell r="J104" t="str">
            <v>ຍິງ</v>
          </cell>
          <cell r="K104">
            <v>35057</v>
          </cell>
          <cell r="L104" t="str">
            <v>29 ປີ</v>
          </cell>
          <cell r="M104">
            <v>44860</v>
          </cell>
          <cell r="O104" t="str">
            <v>ໂພນພະເນົາ</v>
          </cell>
          <cell r="P104" t="str">
            <v>ໄຊເສດຖາ</v>
          </cell>
          <cell r="Q104" t="str">
            <v>ນະຄອນຫຼວງ</v>
          </cell>
          <cell r="R104" t="str">
            <v>ແສງສະຫວ່າງ</v>
          </cell>
          <cell r="S104" t="str">
            <v>ໄຊເສດຖາ</v>
          </cell>
          <cell r="T104" t="str">
            <v>ນະຄອນຫຼວງ</v>
          </cell>
          <cell r="U104" t="str">
            <v>032</v>
          </cell>
          <cell r="X104" t="str">
            <v>ບໍ່ມີ</v>
          </cell>
          <cell r="Y104" t="str">
            <v>ລລ</v>
          </cell>
          <cell r="Z104" t="str">
            <v>ພຸດ</v>
          </cell>
          <cell r="AA104" t="str">
            <v>ບໍ່ມີ</v>
          </cell>
          <cell r="AB104">
            <v>44190</v>
          </cell>
          <cell r="AC104">
            <v>44190</v>
          </cell>
          <cell r="AI104">
            <v>41712</v>
          </cell>
          <cell r="AJ104" t="str">
            <v>30/02/2013</v>
          </cell>
          <cell r="AM104" t="str">
            <v>ວິຊາການ</v>
          </cell>
          <cell r="AN104" t="str">
            <v>ມ 7</v>
          </cell>
          <cell r="AP104" t="str">
            <v>ຊສ</v>
          </cell>
          <cell r="AR104" t="str">
            <v>ການເງິນ-ການທະນາຄານ</v>
          </cell>
          <cell r="AS104" t="str">
            <v>ກໍາ່ສ້າງ</v>
          </cell>
          <cell r="AT104" t="str">
            <v>ວິທະຍາໄລສຸດສະກະ</v>
          </cell>
          <cell r="AU104" t="str">
            <v>3 ປີ</v>
          </cell>
          <cell r="AV104" t="str">
            <v>2013 - 2016</v>
          </cell>
          <cell r="BJ104" t="str">
            <v>ຄໍາແສນ</v>
          </cell>
          <cell r="BK104" t="str">
            <v>ຕ</v>
          </cell>
          <cell r="BQ104" t="str">
            <v>ສີສະຫວາດ</v>
          </cell>
          <cell r="BR104">
            <v>66</v>
          </cell>
          <cell r="BS104" t="str">
            <v>ນາສ້າງໄພ</v>
          </cell>
          <cell r="BT104" t="str">
            <v>ໄຊເສດຖາ</v>
          </cell>
          <cell r="BU104" t="str">
            <v>ນະຄອນຫຼວງ</v>
          </cell>
          <cell r="BV104" t="str">
            <v>ພະນັກງານແພດ ບໍານານ</v>
          </cell>
          <cell r="BX104" t="str">
            <v>ຖາວອນ ວິໄຊລັດ</v>
          </cell>
          <cell r="BY104">
            <v>34534</v>
          </cell>
          <cell r="BZ104" t="str">
            <v>ແສງສະຫວ່າງ</v>
          </cell>
          <cell r="CA104" t="str">
            <v>ໄຊເສດຖາ</v>
          </cell>
          <cell r="CB104" t="str">
            <v>ນະຄອນຫຼວງ</v>
          </cell>
          <cell r="CC104" t="str">
            <v>ພະນັກງານ ຕໍາຫຼວດ</v>
          </cell>
          <cell r="CD104" t="str">
            <v>ກົມໃຫຍ່ພະລາທິການ</v>
          </cell>
          <cell r="CE104">
            <v>0</v>
          </cell>
          <cell r="CF104">
            <v>92172169</v>
          </cell>
          <cell r="CH104" t="str">
            <v>ປົກຄອງ</v>
          </cell>
        </row>
        <row r="105">
          <cell r="G105" t="str">
            <v>ນ. ລັດສະໝີ ອິນທະວົງ</v>
          </cell>
          <cell r="H105" t="str">
            <v>ວທ</v>
          </cell>
          <cell r="I105" t="str">
            <v>ໝີ</v>
          </cell>
          <cell r="J105" t="str">
            <v>ຍິງ</v>
          </cell>
          <cell r="K105">
            <v>36566</v>
          </cell>
          <cell r="L105" t="str">
            <v>25 ປີ</v>
          </cell>
          <cell r="M105">
            <v>45618</v>
          </cell>
          <cell r="O105" t="str">
            <v>ບໍ່</v>
          </cell>
          <cell r="P105" t="str">
            <v>ບໍລິຄັນ</v>
          </cell>
          <cell r="Q105" t="str">
            <v>ບໍລິຄໍາໄຊ</v>
          </cell>
          <cell r="R105" t="str">
            <v>ໂນນສະຫງ່າ</v>
          </cell>
          <cell r="S105" t="str">
            <v>ໄຊເສດຖາ</v>
          </cell>
          <cell r="T105" t="str">
            <v>ນະຄອນຫຼວງ</v>
          </cell>
          <cell r="X105" t="str">
            <v>11-0074938</v>
          </cell>
          <cell r="Y105" t="str">
            <v>ລລ</v>
          </cell>
          <cell r="Z105" t="str">
            <v>ພຸດ</v>
          </cell>
          <cell r="AA105" t="str">
            <v>ບໍ່ມີ</v>
          </cell>
          <cell r="AB105">
            <v>44190</v>
          </cell>
          <cell r="AC105">
            <v>44190</v>
          </cell>
          <cell r="AI105">
            <v>41721</v>
          </cell>
          <cell r="AJ105">
            <v>42520</v>
          </cell>
          <cell r="AK105">
            <v>44041</v>
          </cell>
          <cell r="AM105" t="str">
            <v>ປຸງແຕ່ງ ອາຫານ</v>
          </cell>
          <cell r="AN105" t="str">
            <v>ມ 7</v>
          </cell>
          <cell r="AP105" t="str">
            <v>ຊກ</v>
          </cell>
          <cell r="AR105" t="str">
            <v>ອາຫານ-ການໂຮງແຮມ</v>
          </cell>
          <cell r="AS105" t="str">
            <v>ກໍ່ສ້າງ</v>
          </cell>
          <cell r="AT105" t="str">
            <v>ວິທະຍາໄລເຕັກນິກປາກປາສັກ</v>
          </cell>
          <cell r="AU105" t="str">
            <v>2 ປີ</v>
          </cell>
          <cell r="AV105" t="str">
            <v>2019 - 2020</v>
          </cell>
          <cell r="BJ105" t="str">
            <v>ວຽນລ້ອມ ອິນທະວົງ</v>
          </cell>
          <cell r="BK105">
            <v>52</v>
          </cell>
          <cell r="BL105" t="str">
            <v>ບໍ່</v>
          </cell>
          <cell r="BM105" t="str">
            <v>ບໍລິຄັນ</v>
          </cell>
          <cell r="BN105" t="str">
            <v>ບໍລິຄໍາໄຊ</v>
          </cell>
          <cell r="BO105" t="str">
            <v>ພະນັກງານ ບໍານານ</v>
          </cell>
          <cell r="BQ105" t="str">
            <v>ວັນຄໍາ ອິນທະວົງ</v>
          </cell>
          <cell r="BR105">
            <v>53</v>
          </cell>
          <cell r="BS105" t="str">
            <v>ບໍ່</v>
          </cell>
          <cell r="BT105" t="str">
            <v>ບໍລິຄັນ</v>
          </cell>
          <cell r="BU105" t="str">
            <v>ບໍລິຄໍາໄຊ</v>
          </cell>
          <cell r="BV105" t="str">
            <v>ປະຊາຊົນ</v>
          </cell>
          <cell r="BX105" t="str">
            <v>ຈິດຕະກອນ ສໍພາບມີໄຊ</v>
          </cell>
          <cell r="BY105">
            <v>35331</v>
          </cell>
          <cell r="BZ105" t="str">
            <v>ນາຄໍາ</v>
          </cell>
          <cell r="CA105" t="str">
            <v>ສີໂຄດຕະບອງ</v>
          </cell>
          <cell r="CB105" t="str">
            <v>ນະຄອນຫຼວງ</v>
          </cell>
          <cell r="CC105" t="str">
            <v>ພະນັກງານ</v>
          </cell>
          <cell r="CF105">
            <v>78912117</v>
          </cell>
          <cell r="CH105" t="str">
            <v>ປົກຄອງ</v>
          </cell>
        </row>
        <row r="106">
          <cell r="G106" t="str">
            <v>ນ. ໄຜ່ທອງ ແກ້ວປະເສີດ</v>
          </cell>
          <cell r="H106" t="str">
            <v>ວທ</v>
          </cell>
          <cell r="J106" t="str">
            <v>ຍິງ</v>
          </cell>
          <cell r="K106">
            <v>36209</v>
          </cell>
          <cell r="L106" t="str">
            <v>26 ປີ</v>
          </cell>
          <cell r="M106">
            <v>45618</v>
          </cell>
          <cell r="O106" t="str">
            <v>ສີບຸນເຮືອງ</v>
          </cell>
          <cell r="P106" t="str">
            <v>ສົບເບົາ</v>
          </cell>
          <cell r="Q106" t="str">
            <v>ຫົວພັນ</v>
          </cell>
          <cell r="R106" t="str">
            <v>ໂຊກຄໍາ</v>
          </cell>
          <cell r="S106" t="str">
            <v>ໄຊເສດຖາ</v>
          </cell>
          <cell r="T106" t="str">
            <v>ນະຄອນຫຼວງ</v>
          </cell>
          <cell r="X106" t="str">
            <v>07-23007402</v>
          </cell>
          <cell r="Y106" t="str">
            <v>ລລ</v>
          </cell>
          <cell r="Z106" t="str">
            <v>ພຸດ</v>
          </cell>
          <cell r="AA106" t="str">
            <v>ບໍ່ມີ</v>
          </cell>
          <cell r="AB106">
            <v>44190</v>
          </cell>
          <cell r="AC106">
            <v>44190</v>
          </cell>
          <cell r="AI106">
            <v>40951</v>
          </cell>
          <cell r="AJ106">
            <v>40973</v>
          </cell>
          <cell r="AK106">
            <v>44041</v>
          </cell>
          <cell r="AM106" t="str">
            <v>ປຸງແຕ່ງ ອາຫານ</v>
          </cell>
          <cell r="AN106" t="str">
            <v>ມ 7</v>
          </cell>
          <cell r="AP106" t="str">
            <v>ຊກ</v>
          </cell>
          <cell r="AR106" t="str">
            <v>ອາຫານ-ການໂຮງແຮມ</v>
          </cell>
          <cell r="AS106" t="str">
            <v>ກໍ່ສ້າງ</v>
          </cell>
          <cell r="AT106" t="str">
            <v>ວິທະຍາໄລເຕັກນິກປາກປາສັກ</v>
          </cell>
          <cell r="AU106" t="str">
            <v>2 ປີ</v>
          </cell>
          <cell r="AV106" t="str">
            <v>2019 - 2020</v>
          </cell>
          <cell r="BJ106" t="str">
            <v>ວົງ ສີປະເສີດ</v>
          </cell>
          <cell r="BK106">
            <v>48</v>
          </cell>
          <cell r="BL106" t="str">
            <v>ສີບຸນເຮືອງ</v>
          </cell>
          <cell r="BM106" t="str">
            <v>ສົບເບົາ</v>
          </cell>
          <cell r="BN106" t="str">
            <v>ຫົວພັນ</v>
          </cell>
          <cell r="BO106" t="str">
            <v>ຊາວນາ</v>
          </cell>
          <cell r="BQ106" t="str">
            <v>ຍຸ້ຍ</v>
          </cell>
          <cell r="BR106">
            <v>44</v>
          </cell>
          <cell r="BS106" t="str">
            <v>ສີບຸນເຮືອງ</v>
          </cell>
          <cell r="BT106" t="str">
            <v>ສົບເບົາ</v>
          </cell>
          <cell r="BU106" t="str">
            <v>ຫົວພັນ</v>
          </cell>
          <cell r="BV106" t="str">
            <v>ຄ້າຂາຍ</v>
          </cell>
          <cell r="CF106">
            <v>52753350</v>
          </cell>
          <cell r="CH106" t="str">
            <v>ປົກຄອງ</v>
          </cell>
        </row>
        <row r="107">
          <cell r="G107" t="str">
            <v>ທ. ໄມຄໍາ ພົນທະສີ</v>
          </cell>
          <cell r="H107" t="str">
            <v>ວທ</v>
          </cell>
          <cell r="I107" t="str">
            <v>ໄມ</v>
          </cell>
          <cell r="J107" t="str">
            <v>ຊາຍ</v>
          </cell>
          <cell r="K107">
            <v>34954</v>
          </cell>
          <cell r="L107" t="str">
            <v>29 ປີ</v>
          </cell>
          <cell r="M107">
            <v>45183</v>
          </cell>
          <cell r="O107" t="str">
            <v>ພັດກາງ</v>
          </cell>
          <cell r="P107" t="str">
            <v>ຊໍາໃຕ້</v>
          </cell>
          <cell r="Q107" t="str">
            <v>ຫົວພັນ</v>
          </cell>
          <cell r="R107" t="str">
            <v>ໂນນສະອາດ</v>
          </cell>
          <cell r="S107" t="str">
            <v>ໄຊທານີ</v>
          </cell>
          <cell r="T107" t="str">
            <v>ນະຄອນຫຼວງ</v>
          </cell>
          <cell r="U107">
            <v>1121</v>
          </cell>
          <cell r="W107">
            <v>11</v>
          </cell>
          <cell r="X107" t="str">
            <v>ບໍ່ມີ</v>
          </cell>
          <cell r="Y107" t="str">
            <v>ລລ</v>
          </cell>
          <cell r="Z107" t="str">
            <v>ພຸດ</v>
          </cell>
          <cell r="AA107" t="str">
            <v>ບໍ່ມີ</v>
          </cell>
          <cell r="AB107">
            <v>44550</v>
          </cell>
          <cell r="AC107">
            <v>44550</v>
          </cell>
          <cell r="AI107">
            <v>40991</v>
          </cell>
          <cell r="AM107" t="str">
            <v>ຊ່ວຍວຽກ</v>
          </cell>
          <cell r="AN107" t="str">
            <v>ມ 7</v>
          </cell>
          <cell r="AP107" t="str">
            <v>ຊສ</v>
          </cell>
          <cell r="AR107" t="str">
            <v>ລ້ຽງສັດ</v>
          </cell>
          <cell r="AS107" t="str">
            <v>ກໍ່ສ້າງ</v>
          </cell>
          <cell r="AT107" t="str">
            <v>ວິທະຍາໄລເຕັກນິກກະສິກໍາດົງຄໍາຊ້າງ</v>
          </cell>
          <cell r="AU107" t="str">
            <v>3 ປີ</v>
          </cell>
          <cell r="AV107" t="str">
            <v>2016 - 2019</v>
          </cell>
          <cell r="BJ107" t="str">
            <v>ມູນທາ</v>
          </cell>
          <cell r="BK107">
            <v>63</v>
          </cell>
          <cell r="BL107" t="str">
            <v>ໂນນສະອາດ</v>
          </cell>
          <cell r="BM107" t="str">
            <v>ໄຊທານີ</v>
          </cell>
          <cell r="BN107" t="str">
            <v>ນະຄອນຫຼວງ</v>
          </cell>
          <cell r="BO107" t="str">
            <v>ປະຊາຊົນ</v>
          </cell>
          <cell r="BQ107" t="str">
            <v>ໄມຮຽນ</v>
          </cell>
          <cell r="BR107">
            <v>61</v>
          </cell>
          <cell r="BS107" t="str">
            <v>ໂນນສະອາດ</v>
          </cell>
          <cell r="BT107" t="str">
            <v>ໄຊທານີ</v>
          </cell>
          <cell r="BU107" t="str">
            <v>ນະຄອນຫຼວງ</v>
          </cell>
          <cell r="BV107" t="str">
            <v>ປະຊາຊົນ</v>
          </cell>
          <cell r="CF107">
            <v>76607862</v>
          </cell>
          <cell r="CH107" t="str">
            <v>ປົກຄອງ</v>
          </cell>
        </row>
        <row r="108">
          <cell r="G108" t="str">
            <v>ນ. ສຸສະດາ ສີສະອາດ</v>
          </cell>
          <cell r="H108" t="str">
            <v>ສອ</v>
          </cell>
          <cell r="I108" t="str">
            <v>ຝ້າຍ</v>
          </cell>
          <cell r="J108" t="str">
            <v>ຍິງ</v>
          </cell>
          <cell r="K108">
            <v>37812</v>
          </cell>
          <cell r="L108" t="str">
            <v>21 ປີ</v>
          </cell>
          <cell r="M108">
            <v>45489</v>
          </cell>
          <cell r="O108" t="str">
            <v>ໃຫຍ່ດອນເກືອ</v>
          </cell>
          <cell r="P108" t="str">
            <v>ບໍ່ແຕນ</v>
          </cell>
          <cell r="Q108" t="str">
            <v>ໄຊຍະບູລີ</v>
          </cell>
          <cell r="R108" t="str">
            <v>ນາໄຊ</v>
          </cell>
          <cell r="S108" t="str">
            <v>ໄຊເສດຖາ</v>
          </cell>
          <cell r="T108" t="str">
            <v>ນະຄອນຫຼວງ</v>
          </cell>
          <cell r="U108" t="str">
            <v>138</v>
          </cell>
          <cell r="V108" t="str">
            <v>ໜອງບອນ</v>
          </cell>
          <cell r="W108" t="str">
            <v>02</v>
          </cell>
          <cell r="X108" t="str">
            <v>08-0150365</v>
          </cell>
          <cell r="Y108" t="str">
            <v>ລລ</v>
          </cell>
          <cell r="Z108" t="str">
            <v>ພຸດ</v>
          </cell>
          <cell r="AA108" t="str">
            <v>ບໍ່ມີ</v>
          </cell>
          <cell r="AB108">
            <v>44550</v>
          </cell>
          <cell r="AC108">
            <v>44550</v>
          </cell>
          <cell r="AI108">
            <v>43545</v>
          </cell>
          <cell r="AJ108">
            <v>43545</v>
          </cell>
          <cell r="AM108" t="str">
            <v>ຊ່ວຍວຽກ</v>
          </cell>
          <cell r="AN108" t="str">
            <v>ມ 7</v>
          </cell>
          <cell r="AP108" t="str">
            <v>ຊຕ</v>
          </cell>
          <cell r="AQ108" t="str">
            <v>ພາຍໃນ</v>
          </cell>
          <cell r="AR108" t="str">
            <v>ທົ່ວໄປ</v>
          </cell>
          <cell r="AS108" t="str">
            <v>ກໍ່ສ້າງ</v>
          </cell>
          <cell r="AT108" t="str">
            <v>ສູນຝຶກອົບຮົມວິຊາສະເພາະຄົບວົງຈອນ</v>
          </cell>
          <cell r="AU108" t="str">
            <v>1 ປີ</v>
          </cell>
          <cell r="AV108" t="str">
            <v>2022 - 2023</v>
          </cell>
          <cell r="BJ108" t="str">
            <v>ບຸນຫຼາຍ</v>
          </cell>
          <cell r="BK108">
            <v>40</v>
          </cell>
          <cell r="BL108" t="str">
            <v>ໃຫຍ່ດອນເກືອ</v>
          </cell>
          <cell r="BM108" t="str">
            <v>ບໍ່ແຕກ</v>
          </cell>
          <cell r="BN108" t="str">
            <v>ໄຊຍະບູລີ</v>
          </cell>
          <cell r="BO108" t="str">
            <v>ປະຊາຊົນ</v>
          </cell>
          <cell r="BQ108" t="str">
            <v>ແສງເດືອນ</v>
          </cell>
          <cell r="BR108">
            <v>38</v>
          </cell>
          <cell r="BS108" t="str">
            <v>ໃຫຍ່ດອນເກືອ</v>
          </cell>
          <cell r="BT108" t="str">
            <v>ບໍ່ແຕນ</v>
          </cell>
          <cell r="BU108" t="str">
            <v>ໄຊຍະບູລີ</v>
          </cell>
          <cell r="BV108" t="str">
            <v>ປະຊາຊົນ</v>
          </cell>
          <cell r="CF108">
            <v>76357458</v>
          </cell>
          <cell r="CH108" t="str">
            <v>ປກສ</v>
          </cell>
        </row>
        <row r="109">
          <cell r="G109" t="str">
            <v>ທ. ຄຳຫຼ້າ ໄຊຍະວົງ</v>
          </cell>
          <cell r="H109" t="str">
            <v>ສອ</v>
          </cell>
          <cell r="I109" t="str">
            <v>ຕິ</v>
          </cell>
          <cell r="J109" t="str">
            <v>ຊາຍ</v>
          </cell>
          <cell r="K109">
            <v>36510</v>
          </cell>
          <cell r="L109" t="str">
            <v>25 ປີ</v>
          </cell>
          <cell r="M109">
            <v>45489</v>
          </cell>
          <cell r="O109" t="str">
            <v>ບານ</v>
          </cell>
          <cell r="P109" t="str">
            <v>ຄໍາ</v>
          </cell>
          <cell r="Q109" t="str">
            <v>ຊຽງຂວາງ</v>
          </cell>
          <cell r="R109" t="str">
            <v>ໂນນສະຫງ່າ</v>
          </cell>
          <cell r="S109" t="str">
            <v>ໄຊເສດຖາ</v>
          </cell>
          <cell r="T109" t="str">
            <v>ນະຄອນຫຼວງ</v>
          </cell>
          <cell r="X109" t="str">
            <v>09-24007193</v>
          </cell>
          <cell r="Y109" t="str">
            <v>ລລ</v>
          </cell>
          <cell r="Z109" t="str">
            <v>ຜີ</v>
          </cell>
          <cell r="AA109" t="str">
            <v>ບໍ່ມີ</v>
          </cell>
          <cell r="AB109">
            <v>44550</v>
          </cell>
          <cell r="AC109">
            <v>44550</v>
          </cell>
          <cell r="AI109">
            <v>41619</v>
          </cell>
          <cell r="AM109" t="str">
            <v>ປ້ອງກັນ</v>
          </cell>
          <cell r="AN109" t="str">
            <v>ມ 7</v>
          </cell>
          <cell r="AP109" t="str">
            <v>ຊຕ</v>
          </cell>
          <cell r="AQ109" t="str">
            <v>ພາຍໃນ</v>
          </cell>
          <cell r="AR109" t="str">
            <v>ປ້ອງກັນທີ່ຕັ້ງ</v>
          </cell>
          <cell r="AS109" t="str">
            <v>ກໍ່ສ້າງ</v>
          </cell>
          <cell r="AT109" t="str">
            <v>ປ້ອງກັນທີ່ຕັ້ງ</v>
          </cell>
          <cell r="AU109" t="str">
            <v>1 ປີ</v>
          </cell>
          <cell r="AV109" t="str">
            <v>2021 - 2022</v>
          </cell>
          <cell r="BJ109" t="str">
            <v>ຕ</v>
          </cell>
          <cell r="BQ109" t="str">
            <v>ບົວພາ</v>
          </cell>
          <cell r="BR109">
            <v>58</v>
          </cell>
          <cell r="BS109" t="str">
            <v>ບານ</v>
          </cell>
          <cell r="BT109" t="str">
            <v>ຄໍາ</v>
          </cell>
          <cell r="BU109" t="str">
            <v>ຊຽງຂວາງ</v>
          </cell>
          <cell r="BV109" t="str">
            <v>ປະຊາຊົນ</v>
          </cell>
          <cell r="CF109">
            <v>92106102</v>
          </cell>
          <cell r="CH109" t="str">
            <v>ປກສ</v>
          </cell>
        </row>
        <row r="110">
          <cell r="G110" t="str">
            <v>ທ. ເພັດສະໄໝ ພັນລິເດດ</v>
          </cell>
          <cell r="H110" t="str">
            <v>ສອ</v>
          </cell>
          <cell r="J110" t="str">
            <v>ຊາຍ</v>
          </cell>
          <cell r="K110">
            <v>37142</v>
          </cell>
          <cell r="L110" t="str">
            <v>23 ປີ</v>
          </cell>
          <cell r="M110">
            <v>45182</v>
          </cell>
          <cell r="O110" t="str">
            <v>ນາກະສັງ</v>
          </cell>
          <cell r="P110" t="str">
            <v>ໂຂງ</v>
          </cell>
          <cell r="Q110" t="str">
            <v>ຈໍາປາສັກ</v>
          </cell>
          <cell r="R110" t="str">
            <v>ນາໂນ</v>
          </cell>
          <cell r="S110" t="str">
            <v>ໄຊເສດຖາ</v>
          </cell>
          <cell r="T110" t="str">
            <v>ນະຄອນຫຼວງ</v>
          </cell>
          <cell r="X110" t="str">
            <v>ບໍ່ມີ</v>
          </cell>
          <cell r="Y110" t="str">
            <v>ລລ</v>
          </cell>
          <cell r="Z110" t="str">
            <v>ພຸດ</v>
          </cell>
          <cell r="AA110" t="str">
            <v>ບໍ່ມີ</v>
          </cell>
          <cell r="AB110">
            <v>44550</v>
          </cell>
          <cell r="AC110">
            <v>44550</v>
          </cell>
          <cell r="AI110">
            <v>42817</v>
          </cell>
          <cell r="AM110" t="str">
            <v>ຊ່ວຍວຽກ</v>
          </cell>
          <cell r="AN110" t="str">
            <v>ມ 7</v>
          </cell>
          <cell r="AP110" t="str">
            <v>ຊຕ</v>
          </cell>
          <cell r="AQ110" t="str">
            <v>ພາຍໃນ</v>
          </cell>
          <cell r="AR110" t="str">
            <v>ທົ່ວໄປ</v>
          </cell>
          <cell r="AS110" t="str">
            <v>ກໍ່ສ້າງ</v>
          </cell>
          <cell r="AT110" t="str">
            <v>ສູນຝຶກອົບຮົມວິຊາສະເພາະຄົບວົງຈອນ</v>
          </cell>
          <cell r="AU110" t="str">
            <v>1 ປີ</v>
          </cell>
          <cell r="AV110" t="str">
            <v>2022 - 2023</v>
          </cell>
          <cell r="BJ110" t="str">
            <v>ຫົງ ແກ້ວດໍາດີ</v>
          </cell>
          <cell r="BK110">
            <v>53</v>
          </cell>
          <cell r="BL110" t="str">
            <v>ຫົວດອນໄຊ</v>
          </cell>
          <cell r="BM110" t="str">
            <v>ສຸຂຸມາ</v>
          </cell>
          <cell r="BN110" t="str">
            <v>ຈໍາປາສັກ</v>
          </cell>
          <cell r="BO110" t="str">
            <v>ຊາວນາ</v>
          </cell>
          <cell r="BQ110" t="str">
            <v>ແສນ</v>
          </cell>
          <cell r="BR110">
            <v>54</v>
          </cell>
          <cell r="BS110" t="str">
            <v>ຫົວດອນໄຊ</v>
          </cell>
          <cell r="BT110" t="str">
            <v>ສຸຂຸມາ</v>
          </cell>
          <cell r="BU110" t="str">
            <v>ຈໍາປາສັກ</v>
          </cell>
          <cell r="BV110" t="str">
            <v>ຊາວນາ</v>
          </cell>
          <cell r="CF110">
            <v>97628954</v>
          </cell>
          <cell r="CH110" t="str">
            <v>ປກສ</v>
          </cell>
        </row>
        <row r="111">
          <cell r="G111" t="str">
            <v>ທ. ທຽມໃຈ ສີດາວົງ</v>
          </cell>
          <cell r="H111" t="str">
            <v>ສອ</v>
          </cell>
          <cell r="J111" t="str">
            <v>ຊາຍ</v>
          </cell>
          <cell r="K111">
            <v>37908</v>
          </cell>
          <cell r="L111" t="str">
            <v>21 ປີ</v>
          </cell>
          <cell r="M111">
            <v>45741</v>
          </cell>
          <cell r="N111" t="str">
            <v>1507/ກມປສ</v>
          </cell>
          <cell r="O111" t="str">
            <v>ໂພນຕ້ອງ</v>
          </cell>
          <cell r="P111" t="str">
            <v>ຈັນທະບູລີ</v>
          </cell>
          <cell r="Q111" t="str">
            <v>ນະຄອນຫຼວງ</v>
          </cell>
          <cell r="R111" t="str">
            <v>ດົງໝາກຄາຍ</v>
          </cell>
          <cell r="S111" t="str">
            <v>ໄຊທານີ</v>
          </cell>
          <cell r="T111" t="str">
            <v>ນະຄອນຫຼວງ</v>
          </cell>
          <cell r="U111" t="str">
            <v>316</v>
          </cell>
          <cell r="X111" t="str">
            <v>ບໍ່ມີ</v>
          </cell>
          <cell r="Y111" t="str">
            <v>ລລ</v>
          </cell>
          <cell r="Z111" t="str">
            <v>ພຸດ</v>
          </cell>
          <cell r="AA111" t="str">
            <v>ບໍ່ມີ</v>
          </cell>
          <cell r="AB111">
            <v>44190</v>
          </cell>
          <cell r="AC111">
            <v>44190</v>
          </cell>
          <cell r="AI111">
            <v>43865</v>
          </cell>
          <cell r="AM111" t="str">
            <v>ຊ່ວຍວຽກ</v>
          </cell>
          <cell r="AN111" t="str">
            <v>ມ 7</v>
          </cell>
          <cell r="AP111" t="str">
            <v>ຊຕ</v>
          </cell>
          <cell r="AQ111" t="str">
            <v>ພາຍໃນ</v>
          </cell>
          <cell r="AR111" t="str">
            <v>ທົ່ວໄປ</v>
          </cell>
          <cell r="AS111" t="str">
            <v>ກໍ່ສ້າງ</v>
          </cell>
          <cell r="AT111" t="str">
            <v>ປກສ ຊັ້ນຕົ້ນເລກII</v>
          </cell>
          <cell r="AU111" t="str">
            <v>1 ປີ</v>
          </cell>
          <cell r="AV111" t="str">
            <v>2022 - 2023</v>
          </cell>
          <cell r="BJ111" t="str">
            <v>ຕ</v>
          </cell>
          <cell r="BQ111" t="str">
            <v>ແສງຄໍາ ສິງດາວົງ</v>
          </cell>
          <cell r="BR111">
            <v>46</v>
          </cell>
          <cell r="BS111" t="str">
            <v>ດົງໝາກຄາຍ</v>
          </cell>
          <cell r="BT111" t="str">
            <v>ໄຊທານີ</v>
          </cell>
          <cell r="BU111" t="str">
            <v>ນະຄອນຫຼວງ</v>
          </cell>
          <cell r="BV111" t="str">
            <v>ແມ່ເຮືອນ</v>
          </cell>
          <cell r="CF111">
            <v>92533455</v>
          </cell>
          <cell r="CH111" t="str">
            <v>ປກສ</v>
          </cell>
        </row>
        <row r="112">
          <cell r="G112" t="str">
            <v>ທ. ພັນມະຫາ ແສນທະວົງ</v>
          </cell>
          <cell r="H112" t="str">
            <v>ສອ</v>
          </cell>
          <cell r="J112" t="str">
            <v>ຊາຍ</v>
          </cell>
          <cell r="K112">
            <v>38353</v>
          </cell>
          <cell r="L112" t="str">
            <v>20 ປີ</v>
          </cell>
          <cell r="M112">
            <v>45741</v>
          </cell>
          <cell r="N112" t="str">
            <v>1507/ກມປສ</v>
          </cell>
          <cell r="O112" t="str">
            <v>ຂົວເຊ</v>
          </cell>
          <cell r="P112" t="str">
            <v>ເຊບັ້ງໄຟ</v>
          </cell>
          <cell r="Q112" t="str">
            <v>ຄໍາມ່ວນ</v>
          </cell>
          <cell r="R112" t="str">
            <v>ຂົວເຊ</v>
          </cell>
          <cell r="S112" t="str">
            <v>ເຊບັ້ງໄຟ</v>
          </cell>
          <cell r="T112" t="str">
            <v>ຄໍາມ່ວນ</v>
          </cell>
          <cell r="X112" t="str">
            <v>ບໍ່ມີ</v>
          </cell>
          <cell r="Y112" t="str">
            <v>ລລ</v>
          </cell>
          <cell r="Z112" t="str">
            <v>ພຸດ</v>
          </cell>
          <cell r="AA112" t="str">
            <v>ບໍ່ມີ</v>
          </cell>
          <cell r="AB112">
            <v>44190</v>
          </cell>
          <cell r="AC112">
            <v>44190</v>
          </cell>
          <cell r="AI112">
            <v>43865</v>
          </cell>
          <cell r="AM112" t="str">
            <v>ຊ່ວຍວຽກ</v>
          </cell>
          <cell r="AN112" t="str">
            <v>ມ 7</v>
          </cell>
          <cell r="AP112" t="str">
            <v>ຊຕ</v>
          </cell>
          <cell r="AQ112" t="str">
            <v>ພາຍໃນ</v>
          </cell>
          <cell r="AR112" t="str">
            <v>ທົ່ວໄປ</v>
          </cell>
          <cell r="AS112" t="str">
            <v>ກໍ່ສ້າງ</v>
          </cell>
          <cell r="AT112" t="str">
            <v>ປກສ ຊັ້ນຕົ້ນເລກ2</v>
          </cell>
          <cell r="AU112" t="str">
            <v>1 ປີ</v>
          </cell>
          <cell r="AV112" t="str">
            <v>2022 - 2023</v>
          </cell>
          <cell r="BJ112" t="str">
            <v>ແພງມາ</v>
          </cell>
          <cell r="BK112">
            <v>52</v>
          </cell>
          <cell r="BL112" t="str">
            <v>ຂົວເຊ</v>
          </cell>
          <cell r="BM112" t="str">
            <v>ເຊບັ້ງໄຟ</v>
          </cell>
          <cell r="BN112" t="str">
            <v>ຄໍາມ່ວນ</v>
          </cell>
          <cell r="BO112" t="str">
            <v>ຕໍາຫຼວດ</v>
          </cell>
          <cell r="BP112" t="str">
            <v>ສູນຜະລິດ</v>
          </cell>
          <cell r="BQ112" t="str">
            <v>ອົບມາ</v>
          </cell>
          <cell r="BR112">
            <v>53</v>
          </cell>
          <cell r="BS112" t="str">
            <v>ຂົວເຊ</v>
          </cell>
          <cell r="BT112" t="str">
            <v>ເຊບັ້ງໄຟ</v>
          </cell>
          <cell r="BU112" t="str">
            <v>ຄໍາມ່ວນ</v>
          </cell>
          <cell r="BV112" t="str">
            <v>ພະນັກງານ</v>
          </cell>
          <cell r="BW112" t="str">
            <v>ຫ້ອງການເງິນເມືອງເຊບັ້ງໄຟ</v>
          </cell>
          <cell r="CF112">
            <v>96027918</v>
          </cell>
          <cell r="CH112" t="str">
            <v>ປກສ</v>
          </cell>
        </row>
        <row r="113">
          <cell r="G113" t="str">
            <v>ທ. ສິດທິສອນ ຈັນທະວົງ</v>
          </cell>
          <cell r="H113" t="str">
            <v>ສອ</v>
          </cell>
          <cell r="I113" t="str">
            <v>ເວບ</v>
          </cell>
          <cell r="J113" t="str">
            <v>ຊາຍ</v>
          </cell>
          <cell r="K113">
            <v>38381</v>
          </cell>
          <cell r="L113" t="str">
            <v>20 ປີ</v>
          </cell>
          <cell r="M113">
            <v>45741</v>
          </cell>
          <cell r="N113" t="str">
            <v>1507/ກມປສ</v>
          </cell>
          <cell r="O113" t="str">
            <v>ປາກແຈ້ງ</v>
          </cell>
          <cell r="P113" t="str">
            <v>ວຽງຄໍາ</v>
          </cell>
          <cell r="Q113" t="str">
            <v>ວຽງຈັນ</v>
          </cell>
          <cell r="R113" t="str">
            <v>ສ້າງໃຫຍ່</v>
          </cell>
          <cell r="S113" t="str">
            <v>ໂພນໂຮງ</v>
          </cell>
          <cell r="T113" t="str">
            <v>ວຽງຈັນ</v>
          </cell>
          <cell r="U113" t="str">
            <v>144</v>
          </cell>
          <cell r="X113" t="str">
            <v>ບໍ່ມີ</v>
          </cell>
          <cell r="Y113" t="str">
            <v>ລລ</v>
          </cell>
          <cell r="Z113" t="str">
            <v>ພຸດ</v>
          </cell>
          <cell r="AA113" t="str">
            <v>ບໍ່ມີ</v>
          </cell>
          <cell r="AB113">
            <v>44190</v>
          </cell>
          <cell r="AC113">
            <v>44190</v>
          </cell>
          <cell r="AI113">
            <v>43865</v>
          </cell>
          <cell r="AM113" t="str">
            <v>ຊ່ວຍວຽກ</v>
          </cell>
          <cell r="AN113" t="str">
            <v>ມ 7</v>
          </cell>
          <cell r="AP113" t="str">
            <v>ຊຕ</v>
          </cell>
          <cell r="AQ113" t="str">
            <v>ພາຍໃນ</v>
          </cell>
          <cell r="AR113" t="str">
            <v>ທົ່ວໄປ</v>
          </cell>
          <cell r="AS113" t="str">
            <v>ກໍ່ສ້າງ</v>
          </cell>
          <cell r="AT113" t="str">
            <v>ປກສ ຊັ້ນຕົ້ນເລກ2</v>
          </cell>
          <cell r="AU113" t="str">
            <v>1 ປີ</v>
          </cell>
          <cell r="AV113" t="str">
            <v>2022 - 2023</v>
          </cell>
          <cell r="BJ113" t="str">
            <v>ຄອນສະຫວັນ</v>
          </cell>
          <cell r="BK113">
            <v>47</v>
          </cell>
          <cell r="BL113" t="str">
            <v>ສ້າງໃຫຍ່</v>
          </cell>
          <cell r="BM113" t="str">
            <v>ໂພນໂຮງ</v>
          </cell>
          <cell r="BN113" t="str">
            <v>ວຽງຈັນ</v>
          </cell>
          <cell r="BO113" t="str">
            <v>ຕໍາຫຼວດ</v>
          </cell>
          <cell r="BP113" t="str">
            <v>ໂຮງຮຽນວັດທະນະທໍາ ຫຼັກ67</v>
          </cell>
          <cell r="BQ113" t="str">
            <v>ແສງສຸລີຈັນ</v>
          </cell>
          <cell r="BR113">
            <v>44</v>
          </cell>
          <cell r="BS113" t="str">
            <v>ສ້າງໃຫຍ່</v>
          </cell>
          <cell r="BT113" t="str">
            <v>ໂພນໂຮງ</v>
          </cell>
          <cell r="BU113" t="str">
            <v>ວຽງຈັນ</v>
          </cell>
          <cell r="BV113" t="str">
            <v>ຕໍາຫຼວດ</v>
          </cell>
          <cell r="BW113" t="str">
            <v>ໂຮງຮຽນວັດທະນະທໍາ ຫຼັກ67</v>
          </cell>
          <cell r="CF113">
            <v>76739485</v>
          </cell>
          <cell r="CH113" t="str">
            <v>ປກສ</v>
          </cell>
        </row>
        <row r="114">
          <cell r="G114" t="str">
            <v>ນ. ບົວວັນ ສີລາວົງ</v>
          </cell>
          <cell r="H114" t="str">
            <v>ສອ</v>
          </cell>
          <cell r="I114" t="str">
            <v>ວັນ</v>
          </cell>
          <cell r="J114" t="str">
            <v>ຍິງ</v>
          </cell>
          <cell r="K114">
            <v>38231</v>
          </cell>
          <cell r="L114" t="str">
            <v>20 ປີ</v>
          </cell>
          <cell r="M114">
            <v>45741</v>
          </cell>
          <cell r="N114" t="str">
            <v>1507/ກມປສ</v>
          </cell>
          <cell r="O114" t="str">
            <v>ຫົວເມືອງ</v>
          </cell>
          <cell r="P114" t="str">
            <v>ໂພນໄຊ</v>
          </cell>
          <cell r="Q114" t="str">
            <v>ຫຼວງພະບາງ</v>
          </cell>
          <cell r="R114" t="str">
            <v>ແສງສະຫວ່າງ</v>
          </cell>
          <cell r="S114" t="str">
            <v>ໄຊເສດຖາ</v>
          </cell>
          <cell r="T114" t="str">
            <v>ນະຄອນຫຼວງ</v>
          </cell>
          <cell r="X114" t="str">
            <v>ບໍ່ມີ</v>
          </cell>
          <cell r="Y114" t="str">
            <v>ກຶມມຸ</v>
          </cell>
          <cell r="Z114" t="str">
            <v>ຜີ</v>
          </cell>
          <cell r="AA114" t="str">
            <v>ບໍ່ມີ</v>
          </cell>
          <cell r="AB114">
            <v>44190</v>
          </cell>
          <cell r="AC114">
            <v>44190</v>
          </cell>
          <cell r="AI114">
            <v>44596</v>
          </cell>
          <cell r="AJ114">
            <v>44761</v>
          </cell>
          <cell r="AM114" t="str">
            <v>ຊ່ວຍວຽກ</v>
          </cell>
          <cell r="AN114" t="str">
            <v>ມ 7</v>
          </cell>
          <cell r="AP114" t="str">
            <v>ຊຕ</v>
          </cell>
          <cell r="AQ114" t="str">
            <v>ພາຍໃນ</v>
          </cell>
          <cell r="AR114" t="str">
            <v>ວິຊາສະເພາະລວມ</v>
          </cell>
          <cell r="AS114" t="str">
            <v>ກໍ່ສ້າງ</v>
          </cell>
          <cell r="AT114" t="str">
            <v>ປກສ ຊັ້ນຕົ້ນເລກ2</v>
          </cell>
          <cell r="AU114" t="str">
            <v>1 ປີ</v>
          </cell>
          <cell r="AV114" t="str">
            <v>2022 - 2023</v>
          </cell>
          <cell r="BJ114" t="str">
            <v>ບຸນທ່ຽງ</v>
          </cell>
          <cell r="BK114">
            <v>56</v>
          </cell>
          <cell r="BL114" t="str">
            <v>ໂພນມີໄຊ</v>
          </cell>
          <cell r="BM114" t="str">
            <v>ບໍລິຄັນ</v>
          </cell>
          <cell r="BN114" t="str">
            <v>ບໍລິຄໍາໄຊ</v>
          </cell>
          <cell r="BO114" t="str">
            <v>ຊາວນາ</v>
          </cell>
          <cell r="BQ114" t="str">
            <v>ລັດສະໝີ</v>
          </cell>
          <cell r="BR114">
            <v>43</v>
          </cell>
          <cell r="BS114" t="str">
            <v>ໂພນມີໄຊ</v>
          </cell>
          <cell r="BT114" t="str">
            <v>ບໍລິຄັນ</v>
          </cell>
          <cell r="BU114" t="str">
            <v>ບໍລິຄໍາໄຊ</v>
          </cell>
          <cell r="BV114" t="str">
            <v>ຊາວນາ</v>
          </cell>
          <cell r="CF114">
            <v>91987857</v>
          </cell>
          <cell r="CH114" t="str">
            <v>ປກສ</v>
          </cell>
        </row>
        <row r="115">
          <cell r="G115" t="str">
            <v>ນ. ແພວາ ມີນາວົງ</v>
          </cell>
          <cell r="H115" t="str">
            <v>ສອ</v>
          </cell>
          <cell r="I115" t="str">
            <v>ແພ</v>
          </cell>
          <cell r="J115" t="str">
            <v>ຍິງ</v>
          </cell>
          <cell r="K115">
            <v>38211</v>
          </cell>
          <cell r="L115" t="str">
            <v>20 ປີ</v>
          </cell>
          <cell r="M115">
            <v>45741</v>
          </cell>
          <cell r="N115" t="str">
            <v>1507/ກມປສ</v>
          </cell>
          <cell r="O115" t="str">
            <v>ນາແພງ</v>
          </cell>
          <cell r="P115" t="str">
            <v>ທຸລະຄົມ</v>
          </cell>
          <cell r="Q115" t="str">
            <v>ວຽງຈັນ</v>
          </cell>
          <cell r="R115" t="str">
            <v>ໂນນສະຫງ່າ</v>
          </cell>
          <cell r="S115" t="str">
            <v>ໄຊເສດຖາ</v>
          </cell>
          <cell r="T115" t="str">
            <v>ນະຄອນຫຼວງ</v>
          </cell>
          <cell r="X115" t="str">
            <v>ບໍ່ມີ</v>
          </cell>
          <cell r="Y115" t="str">
            <v>ລລ</v>
          </cell>
          <cell r="Z115" t="str">
            <v>ພຸດ</v>
          </cell>
          <cell r="AA115" t="str">
            <v>ບໍ່ມີ</v>
          </cell>
          <cell r="AB115">
            <v>44190</v>
          </cell>
          <cell r="AC115">
            <v>44190</v>
          </cell>
          <cell r="AI115">
            <v>43145</v>
          </cell>
          <cell r="AJ115">
            <v>44761</v>
          </cell>
          <cell r="AM115" t="str">
            <v>ຊ່ວຍວຽກ</v>
          </cell>
          <cell r="AN115" t="str">
            <v>ມ 7</v>
          </cell>
          <cell r="AP115" t="str">
            <v>ຊຕ</v>
          </cell>
          <cell r="AQ115" t="str">
            <v>ພາຍໃນ</v>
          </cell>
          <cell r="AR115" t="str">
            <v>ທົ່ວໄປ</v>
          </cell>
          <cell r="AS115" t="str">
            <v>ກໍ່ສ້າງ</v>
          </cell>
          <cell r="AT115" t="str">
            <v>ປກສ ຊັ້ນຕົ້ນເລກ2 ແຂວງ ໄຊຍະບູລີ</v>
          </cell>
          <cell r="AU115" t="str">
            <v>1 ປີ</v>
          </cell>
          <cell r="AV115" t="str">
            <v>2022 - 2023</v>
          </cell>
          <cell r="BJ115" t="str">
            <v>ບຸນຕີ</v>
          </cell>
          <cell r="BK115">
            <v>44</v>
          </cell>
          <cell r="BL115" t="str">
            <v>ນາແພງ</v>
          </cell>
          <cell r="BM115" t="str">
            <v>ທຸລະຄົມ</v>
          </cell>
          <cell r="BN115" t="str">
            <v>ວຽງຈັນ</v>
          </cell>
          <cell r="BO115" t="str">
            <v>ຊາວນາ</v>
          </cell>
          <cell r="BQ115" t="str">
            <v>ຄໍາຕັນ</v>
          </cell>
          <cell r="BR115">
            <v>47</v>
          </cell>
          <cell r="BS115" t="str">
            <v>ນາແພງ</v>
          </cell>
          <cell r="BT115" t="str">
            <v>ທຸລະຄົມ</v>
          </cell>
          <cell r="BU115" t="str">
            <v>ວຽງຈັນ</v>
          </cell>
          <cell r="BV115" t="str">
            <v>ຊາວນາ</v>
          </cell>
          <cell r="CF115">
            <v>94008091</v>
          </cell>
          <cell r="CH115" t="str">
            <v>ປກສ</v>
          </cell>
        </row>
        <row r="116">
          <cell r="G116" t="str">
            <v>ທ. ນິກອນ ພະລະຄອນ</v>
          </cell>
          <cell r="H116" t="str">
            <v>ສອ</v>
          </cell>
          <cell r="I116" t="str">
            <v>ກອນ</v>
          </cell>
          <cell r="J116" t="str">
            <v>ຊາຍ</v>
          </cell>
          <cell r="K116">
            <v>38160</v>
          </cell>
          <cell r="L116" t="str">
            <v>20 ປີ</v>
          </cell>
          <cell r="M116">
            <v>45741</v>
          </cell>
          <cell r="N116" t="str">
            <v>1507/ກມປສ</v>
          </cell>
          <cell r="O116" t="str">
            <v>ນາຊູ</v>
          </cell>
          <cell r="P116" t="str">
            <v>ໂພນໂຮງ</v>
          </cell>
          <cell r="Q116" t="str">
            <v>ວຽງຈັນ</v>
          </cell>
          <cell r="R116" t="str">
            <v>ໂນນສະຫງ່າ</v>
          </cell>
          <cell r="S116" t="str">
            <v>ໄຊເສດຖາ</v>
          </cell>
          <cell r="T116" t="str">
            <v>ນະຄອນຫຼວງ</v>
          </cell>
          <cell r="Y116" t="str">
            <v>ລລ</v>
          </cell>
          <cell r="Z116" t="str">
            <v>ພຸດ</v>
          </cell>
          <cell r="AA116" t="str">
            <v>ບໍ່ມີ</v>
          </cell>
          <cell r="AB116">
            <v>44190</v>
          </cell>
          <cell r="AC116">
            <v>44190</v>
          </cell>
          <cell r="AI116">
            <v>44288</v>
          </cell>
          <cell r="AM116" t="str">
            <v>ປ້ອງກັນ</v>
          </cell>
          <cell r="AN116" t="str">
            <v>ມ 7</v>
          </cell>
          <cell r="AP116" t="str">
            <v>ຊຕ</v>
          </cell>
          <cell r="AQ116" t="str">
            <v>ພາຍໃນ</v>
          </cell>
          <cell r="AR116" t="str">
            <v>ທົ່ວໄປ</v>
          </cell>
          <cell r="AS116" t="str">
            <v>ກໍ່ສ້າງ</v>
          </cell>
          <cell r="AT116" t="str">
            <v>ປກສ ຊັ້ນຕົ້ນເລກ2 ແຂວງ ໄຊຍະບູລີ</v>
          </cell>
          <cell r="AU116" t="str">
            <v>1 ປີ</v>
          </cell>
          <cell r="AV116" t="str">
            <v>2022 - 2023</v>
          </cell>
          <cell r="BJ116" t="str">
            <v>ຖາວອນ</v>
          </cell>
          <cell r="BK116">
            <v>48</v>
          </cell>
          <cell r="BL116" t="str">
            <v>ນາຊູ</v>
          </cell>
          <cell r="BM116" t="str">
            <v>ໂພນໂຮງ</v>
          </cell>
          <cell r="BN116" t="str">
            <v>ວຽງຈັນ</v>
          </cell>
          <cell r="BO116" t="str">
            <v>ຊາວນາ</v>
          </cell>
          <cell r="BQ116" t="str">
            <v>ວົງພະຈັນ</v>
          </cell>
          <cell r="BR116">
            <v>47</v>
          </cell>
          <cell r="BS116" t="str">
            <v>ນາຊູ</v>
          </cell>
          <cell r="BT116" t="str">
            <v>ໂພນໂຮງ</v>
          </cell>
          <cell r="BU116" t="str">
            <v>ວຽງຈັນ</v>
          </cell>
          <cell r="BV116" t="str">
            <v>ຊາວນາ</v>
          </cell>
          <cell r="CF116">
            <v>93225152</v>
          </cell>
          <cell r="CH116" t="str">
            <v>ປກສ</v>
          </cell>
        </row>
        <row r="117">
          <cell r="G117" t="str">
            <v>ທ. ເພັດ  ຂັນທະວົງ</v>
          </cell>
          <cell r="H117" t="str">
            <v>ສອ</v>
          </cell>
          <cell r="J117" t="str">
            <v>ຊາຍ</v>
          </cell>
          <cell r="K117">
            <v>36994</v>
          </cell>
          <cell r="L117" t="str">
            <v>24 ປີ</v>
          </cell>
          <cell r="M117">
            <v>45041</v>
          </cell>
          <cell r="O117" t="str">
            <v>ວຽງຄໍາ</v>
          </cell>
          <cell r="P117" t="str">
            <v>ກາສີ</v>
          </cell>
          <cell r="Q117" t="str">
            <v>ວຽງຈັນ</v>
          </cell>
          <cell r="R117" t="str">
            <v>ໂນນສະຫງ່າ</v>
          </cell>
          <cell r="S117" t="str">
            <v>ໄຊເສດຖາ</v>
          </cell>
          <cell r="T117" t="str">
            <v>ນະຄອນຫຼວງ</v>
          </cell>
          <cell r="X117" t="str">
            <v>10-0204346</v>
          </cell>
          <cell r="Y117" t="str">
            <v>ລລ</v>
          </cell>
          <cell r="Z117" t="str">
            <v>ພຸດ</v>
          </cell>
          <cell r="AA117" t="str">
            <v>ບໍ່ມີ</v>
          </cell>
          <cell r="AB117">
            <v>43824</v>
          </cell>
          <cell r="AC117">
            <v>43824</v>
          </cell>
          <cell r="AI117">
            <v>43530</v>
          </cell>
          <cell r="AM117" t="str">
            <v>ຂັບລົດ</v>
          </cell>
          <cell r="AN117" t="str">
            <v>ມ 7</v>
          </cell>
          <cell r="AP117" t="str">
            <v>ຊຕ</v>
          </cell>
          <cell r="AQ117" t="str">
            <v>ພາຍໃນ</v>
          </cell>
          <cell r="AR117" t="str">
            <v>ປ້ອງກັນເຄື່ອນທີ່</v>
          </cell>
          <cell r="AS117" t="str">
            <v>ກໍ່ສ້າງ</v>
          </cell>
          <cell r="AT117" t="str">
            <v>ສູນຝຶກອົບຮົມວິຊາສະເພາະຄົບວົງຈອນ</v>
          </cell>
          <cell r="AU117" t="str">
            <v>1 ປີ</v>
          </cell>
          <cell r="AV117" t="str">
            <v>2020 - 2021</v>
          </cell>
          <cell r="BJ117" t="str">
            <v>ຄໍາແພງ</v>
          </cell>
          <cell r="BK117">
            <v>44</v>
          </cell>
          <cell r="BL117" t="str">
            <v>ວຽງຄໍາ</v>
          </cell>
          <cell r="BM117" t="str">
            <v>ກາສີ</v>
          </cell>
          <cell r="BN117" t="str">
            <v>ວຽງຈັນ</v>
          </cell>
          <cell r="BO117" t="str">
            <v>ປະຊາຊົນ</v>
          </cell>
          <cell r="BQ117" t="str">
            <v>ໃບ</v>
          </cell>
          <cell r="BR117">
            <v>44</v>
          </cell>
          <cell r="BS117" t="str">
            <v>ວຽງຄໍາ</v>
          </cell>
          <cell r="BT117" t="str">
            <v>ກາສີ</v>
          </cell>
          <cell r="BU117" t="str">
            <v>ວຽງຈັນ</v>
          </cell>
          <cell r="BV117" t="str">
            <v>ປະຊາຊົນ</v>
          </cell>
          <cell r="CF117">
            <v>77823820</v>
          </cell>
          <cell r="CH117" t="str">
            <v>ປົກຄອງ</v>
          </cell>
        </row>
        <row r="118">
          <cell r="G118" t="str">
            <v>ທ. ສີສຸພັນ ຫຼ້າບຸນທັນ</v>
          </cell>
          <cell r="H118" t="str">
            <v>ສທ</v>
          </cell>
          <cell r="J118" t="str">
            <v>ຊາຍ</v>
          </cell>
          <cell r="K118">
            <v>35266</v>
          </cell>
          <cell r="L118" t="str">
            <v>28 ປີ</v>
          </cell>
          <cell r="M118">
            <v>45678</v>
          </cell>
          <cell r="O118" t="str">
            <v>ຍ່າຍ</v>
          </cell>
          <cell r="P118" t="str">
            <v>ພູກູດ</v>
          </cell>
          <cell r="Q118" t="str">
            <v>ຊຽງຂວາງ</v>
          </cell>
          <cell r="R118" t="str">
            <v>ໂຄກສະຫວ່າງ</v>
          </cell>
          <cell r="S118" t="str">
            <v>ໄຊທານີ</v>
          </cell>
          <cell r="T118" t="str">
            <v>ນະຄອນຫຼວງ</v>
          </cell>
          <cell r="Y118" t="str">
            <v>ລລ</v>
          </cell>
          <cell r="Z118" t="str">
            <v>ພຸດ</v>
          </cell>
          <cell r="AB118">
            <v>45285</v>
          </cell>
          <cell r="AC118">
            <v>45285</v>
          </cell>
          <cell r="AI118">
            <v>41253</v>
          </cell>
          <cell r="AM118" t="str">
            <v>ຊ່ວຍວຽກ</v>
          </cell>
          <cell r="AN118" t="str">
            <v>ມ 7</v>
          </cell>
          <cell r="AP118" t="str">
            <v>ຊຕ</v>
          </cell>
          <cell r="AQ118" t="str">
            <v>ພາຍໃນ</v>
          </cell>
          <cell r="AR118" t="str">
            <v>ປ້ອງກັນເຄື່ອນທີ່</v>
          </cell>
          <cell r="AS118" t="str">
            <v>ກໍ່ສ້າງ</v>
          </cell>
          <cell r="AT118" t="str">
            <v>ສູນຝຶກອົບຮົມຕໍາຫຼວດນາຍສິບດົງຊຽງດີ</v>
          </cell>
          <cell r="AU118" t="str">
            <v>01 ປີ</v>
          </cell>
          <cell r="AV118" t="str">
            <v>2024 - 2025</v>
          </cell>
          <cell r="AW118" t="str">
            <v>ຊສ</v>
          </cell>
          <cell r="AY118" t="str">
            <v>ບັນຊີການເງິນ</v>
          </cell>
          <cell r="AZ118" t="str">
            <v>ກໍ່ສ້າງ</v>
          </cell>
          <cell r="BA118" t="str">
            <v>ວິທະຍາໄລສຸກສະຫວັດ</v>
          </cell>
          <cell r="BB118" t="str">
            <v>03 ປີ</v>
          </cell>
          <cell r="BC118" t="str">
            <v>2019 - 2022</v>
          </cell>
          <cell r="BJ118" t="str">
            <v>ຄໍາໃຜ</v>
          </cell>
          <cell r="BK118">
            <v>58</v>
          </cell>
          <cell r="BL118" t="str">
            <v>ຍ່າຍ</v>
          </cell>
          <cell r="BM118" t="str">
            <v>ພູກູດ</v>
          </cell>
          <cell r="BN118" t="str">
            <v>ຊຽງຂວາງ</v>
          </cell>
          <cell r="BO118" t="str">
            <v>ປະຊາຊົນ</v>
          </cell>
          <cell r="BQ118" t="str">
            <v>ດວງຕາ</v>
          </cell>
          <cell r="BR118">
            <v>59</v>
          </cell>
          <cell r="BS118" t="str">
            <v>ຍ່າຍ</v>
          </cell>
          <cell r="BT118" t="str">
            <v>ພູກູດ</v>
          </cell>
          <cell r="BU118" t="str">
            <v>ຊຽງຂວາງ</v>
          </cell>
          <cell r="BV118" t="str">
            <v>ພະນັກງານບໍານານ</v>
          </cell>
          <cell r="CF118">
            <v>95339121</v>
          </cell>
          <cell r="CH118" t="str">
            <v>ປກສ</v>
          </cell>
          <cell r="CI118">
            <v>45729</v>
          </cell>
          <cell r="CJ118" t="str">
            <v>619/ຫກ</v>
          </cell>
        </row>
        <row r="119">
          <cell r="G119" t="str">
            <v>ທ. ວັດທະນາ ພົມມະວົງສາ</v>
          </cell>
          <cell r="H119" t="str">
            <v>ສທ</v>
          </cell>
          <cell r="I119" t="str">
            <v>ບ໋ອດ</v>
          </cell>
          <cell r="J119" t="str">
            <v>ຊາຍ</v>
          </cell>
          <cell r="K119">
            <v>38355</v>
          </cell>
          <cell r="L119" t="str">
            <v>20 ປີ</v>
          </cell>
          <cell r="M119">
            <v>45700</v>
          </cell>
          <cell r="O119" t="str">
            <v>ຫົວຂົວ</v>
          </cell>
          <cell r="P119" t="str">
            <v>ນາຊາຍທອງ</v>
          </cell>
          <cell r="Q119" t="str">
            <v>ນະຄອນຫຼວງ</v>
          </cell>
          <cell r="R119" t="str">
            <v>ຫົວຂົວ</v>
          </cell>
          <cell r="S119" t="str">
            <v>ນາຊາຍທອງ</v>
          </cell>
          <cell r="T119" t="str">
            <v>ນະຄອນຫຼວງ</v>
          </cell>
          <cell r="U119">
            <v>17</v>
          </cell>
          <cell r="V119" t="str">
            <v>13 ເໜືອ</v>
          </cell>
          <cell r="X119" t="str">
            <v>01-21001287</v>
          </cell>
          <cell r="Y119" t="str">
            <v>ລລ</v>
          </cell>
          <cell r="Z119" t="str">
            <v>ພຸດ</v>
          </cell>
          <cell r="AB119">
            <v>44440</v>
          </cell>
          <cell r="AC119">
            <v>44440</v>
          </cell>
          <cell r="AI119">
            <v>42692</v>
          </cell>
          <cell r="AM119" t="str">
            <v>ຊ່ວຍວຽກ</v>
          </cell>
          <cell r="AN119" t="str">
            <v>ມ 7</v>
          </cell>
          <cell r="AO119" t="str">
            <v>ອັງກິດ</v>
          </cell>
          <cell r="AP119" t="str">
            <v>ຊຕ</v>
          </cell>
          <cell r="AQ119" t="str">
            <v>ພາຍໃນ</v>
          </cell>
          <cell r="AR119" t="str">
            <v>ຈະລາຈອນ</v>
          </cell>
          <cell r="AS119" t="str">
            <v>ກໍ່ສ້າງ</v>
          </cell>
          <cell r="AT119" t="str">
            <v>ໂຮງຮຽນ ປກສ ຊັ້ນຕົ້ນ ກົມໃຫຍ່ຕໍາຫຼວດ</v>
          </cell>
          <cell r="AU119" t="str">
            <v>01 ປີ</v>
          </cell>
          <cell r="AV119" t="str">
            <v>2024 - 2025</v>
          </cell>
          <cell r="BJ119" t="str">
            <v>ບຸນກອງ</v>
          </cell>
          <cell r="BL119" t="str">
            <v>ຫົວຂົວ</v>
          </cell>
          <cell r="BM119" t="str">
            <v>ນາຊາຍທອງ</v>
          </cell>
          <cell r="BN119" t="str">
            <v>ນະຄອນຫຼວງ</v>
          </cell>
          <cell r="BO119" t="str">
            <v>ຕໍາຫຼວດ</v>
          </cell>
          <cell r="BP119" t="str">
            <v>ກອງພັນເຄື່ອນທີ່ນະຄອນຫຼວງ</v>
          </cell>
          <cell r="BQ119" t="str">
            <v>ຄໍາຜາງ</v>
          </cell>
          <cell r="BS119" t="str">
            <v>ຫົວຂົວ</v>
          </cell>
          <cell r="BT119" t="str">
            <v>ນາຊາຍທອງ</v>
          </cell>
          <cell r="BU119" t="str">
            <v>ນະຄອນຫຼວງ</v>
          </cell>
          <cell r="CF119">
            <v>54810495</v>
          </cell>
          <cell r="CH119" t="str">
            <v>ປກສ</v>
          </cell>
          <cell r="CI119">
            <v>45729</v>
          </cell>
          <cell r="CJ119" t="str">
            <v>619/ຫກ</v>
          </cell>
        </row>
        <row r="120">
          <cell r="G120" t="str">
            <v>ທ. ຄໍາໄມ ປະທຸມພອນ</v>
          </cell>
          <cell r="H120" t="str">
            <v>ສທ</v>
          </cell>
          <cell r="I120" t="str">
            <v>ໄມ</v>
          </cell>
          <cell r="J120" t="str">
            <v>ຊາຍ</v>
          </cell>
          <cell r="K120">
            <v>38450</v>
          </cell>
          <cell r="L120" t="str">
            <v>20 ປີ</v>
          </cell>
          <cell r="M120">
            <v>45691</v>
          </cell>
          <cell r="O120" t="str">
            <v>ນໍ້າກ້າງປາ</v>
          </cell>
          <cell r="P120" t="str">
            <v>ແມດ</v>
          </cell>
          <cell r="Q120" t="str">
            <v>ວຽງຈັນ</v>
          </cell>
          <cell r="R120" t="str">
            <v>ໜອງສະ</v>
          </cell>
          <cell r="S120" t="str">
            <v>ນາຊາຍທອງ</v>
          </cell>
          <cell r="T120" t="str">
            <v>ນະຄອນຫຼວງ</v>
          </cell>
          <cell r="X120" t="str">
            <v>10-0196758</v>
          </cell>
          <cell r="Y120" t="str">
            <v>ລລ</v>
          </cell>
          <cell r="Z120" t="str">
            <v>ພຸດ</v>
          </cell>
          <cell r="AB120">
            <v>45285</v>
          </cell>
          <cell r="AC120">
            <v>45285</v>
          </cell>
          <cell r="AI120">
            <v>44268</v>
          </cell>
          <cell r="AM120" t="str">
            <v>ຊ່ວຍວຽກ</v>
          </cell>
          <cell r="AN120" t="str">
            <v>ມ 7</v>
          </cell>
          <cell r="AP120" t="str">
            <v>ຊຕ</v>
          </cell>
          <cell r="AQ120" t="str">
            <v>ພາຍໃນ</v>
          </cell>
          <cell r="AR120" t="str">
            <v>ປ້ອງກັນທີ່ຕັ້ງ</v>
          </cell>
          <cell r="AS120" t="str">
            <v>ກໍ່ສ້າງ</v>
          </cell>
          <cell r="AT120" t="str">
            <v>ສູນຝຶກວິຊາສະເພາະປ້ອງກັນທີ່ຕັ້ງ</v>
          </cell>
          <cell r="AU120" t="str">
            <v>01 ປີ</v>
          </cell>
          <cell r="AV120" t="str">
            <v>2024 - 2025</v>
          </cell>
          <cell r="BJ120" t="str">
            <v>ບັນລັງ ປະທຸມພອນ</v>
          </cell>
          <cell r="BK120">
            <v>40</v>
          </cell>
          <cell r="BL120" t="str">
            <v>ນາກ້າງປາ</v>
          </cell>
          <cell r="BM120" t="str">
            <v>ແມດ</v>
          </cell>
          <cell r="BN120" t="str">
            <v>ວຽງຈັນ</v>
          </cell>
          <cell r="BO120" t="str">
            <v>ປະຊາຊົນ</v>
          </cell>
          <cell r="BQ120" t="str">
            <v>ແສງ ປະທຸມພອນ</v>
          </cell>
          <cell r="BR120">
            <v>35</v>
          </cell>
          <cell r="BS120" t="str">
            <v>ນາກ້າງປາ</v>
          </cell>
          <cell r="BT120" t="str">
            <v>ແມດ</v>
          </cell>
          <cell r="BU120" t="str">
            <v>ວຽງຈັນ</v>
          </cell>
          <cell r="BV120" t="str">
            <v>ປະຊາຊົນ</v>
          </cell>
          <cell r="CF120">
            <v>28327305</v>
          </cell>
          <cell r="CH120" t="str">
            <v>ປກສ</v>
          </cell>
          <cell r="CI120">
            <v>45729</v>
          </cell>
          <cell r="CJ120" t="str">
            <v>619/ຫກ</v>
          </cell>
        </row>
        <row r="121">
          <cell r="G121" t="str">
            <v>ນ. ຈຸລາພອນ ພົມມະຈັນ</v>
          </cell>
          <cell r="H121" t="str">
            <v>ສທ</v>
          </cell>
          <cell r="J121" t="str">
            <v>ຍິງ</v>
          </cell>
          <cell r="K121">
            <v>37223</v>
          </cell>
          <cell r="L121" t="str">
            <v>23 ປີ</v>
          </cell>
          <cell r="M121">
            <v>45698</v>
          </cell>
          <cell r="O121" t="str">
            <v>ຊ້າງຄູ້</v>
          </cell>
          <cell r="P121" t="str">
            <v>ໄຊທານີ</v>
          </cell>
          <cell r="Q121" t="str">
            <v>ນະຄອນຫຼວງ</v>
          </cell>
          <cell r="R121" t="str">
            <v>ນາສ້ຽວ</v>
          </cell>
          <cell r="S121" t="str">
            <v>ນາຊາຍທອງ</v>
          </cell>
          <cell r="T121" t="str">
            <v>ນະຄອນຫຼວງ</v>
          </cell>
          <cell r="Y121" t="str">
            <v>ລລ</v>
          </cell>
          <cell r="Z121" t="str">
            <v>ພຸດ</v>
          </cell>
          <cell r="AB121">
            <v>45285</v>
          </cell>
          <cell r="AC121">
            <v>45285</v>
          </cell>
          <cell r="AI121">
            <v>42489</v>
          </cell>
          <cell r="AJ121">
            <v>42405</v>
          </cell>
          <cell r="AK121">
            <v>43885</v>
          </cell>
          <cell r="AM121" t="str">
            <v>ຊ່ວຍວຽກ</v>
          </cell>
          <cell r="AN121" t="str">
            <v>ມ 7</v>
          </cell>
          <cell r="AP121" t="str">
            <v>ຊຕ</v>
          </cell>
          <cell r="AQ121" t="str">
            <v>ພາຍໃນ</v>
          </cell>
          <cell r="AR121" t="str">
            <v>ທົ່ວໄປ</v>
          </cell>
          <cell r="AS121" t="str">
            <v>ກໍ່ສ້າງ</v>
          </cell>
          <cell r="AT121" t="str">
            <v>ໂຮງຮຽນ ປກສ ຊັ້ນຕົ້ນເລກ2 ແຂວງໄຊຍະບູລີ</v>
          </cell>
          <cell r="AU121" t="str">
            <v>01 ປີ</v>
          </cell>
          <cell r="AV121" t="str">
            <v>2024 - 2025</v>
          </cell>
          <cell r="AW121" t="str">
            <v>ຊກ</v>
          </cell>
          <cell r="AY121" t="str">
            <v>ປູກຟັງ</v>
          </cell>
          <cell r="AZ121" t="str">
            <v>ກໍ່ສ້າງ</v>
          </cell>
          <cell r="BA121" t="str">
            <v>ເຕັກນິກວິຊາຊີບອຸດົມໄຊ</v>
          </cell>
          <cell r="BB121" t="str">
            <v>02 ປີ</v>
          </cell>
          <cell r="BC121" t="str">
            <v>2019 - 2021</v>
          </cell>
          <cell r="BJ121" t="str">
            <v>ລຸນສະຫວັນ</v>
          </cell>
          <cell r="BK121" t="str">
            <v>ຕ</v>
          </cell>
          <cell r="BQ121" t="str">
            <v>ນິລາວັນ ພົມມະຈັນ</v>
          </cell>
          <cell r="BR121">
            <v>46</v>
          </cell>
          <cell r="BS121" t="str">
            <v>ນາສ້ຽວ</v>
          </cell>
          <cell r="BT121" t="str">
            <v>ນາຊາຍທອງ</v>
          </cell>
          <cell r="BU121" t="str">
            <v>ນະຄອນຫຼວງ</v>
          </cell>
          <cell r="BV121" t="str">
            <v>ປະຊາຊົນ</v>
          </cell>
          <cell r="CF121">
            <v>58878953</v>
          </cell>
          <cell r="CH121" t="str">
            <v>ປກສ</v>
          </cell>
          <cell r="CI121">
            <v>45729</v>
          </cell>
          <cell r="CJ121" t="str">
            <v>619/ຫກ</v>
          </cell>
        </row>
        <row r="122">
          <cell r="G122" t="str">
            <v>ນ. ປູນາ ພັນທິລາດ</v>
          </cell>
          <cell r="H122" t="str">
            <v>ສທ</v>
          </cell>
          <cell r="J122" t="str">
            <v>ຍິງ</v>
          </cell>
          <cell r="K122">
            <v>37691</v>
          </cell>
          <cell r="L122" t="str">
            <v>22 ປີ</v>
          </cell>
          <cell r="M122">
            <v>45336</v>
          </cell>
          <cell r="O122" t="str">
            <v>ຫົວໂຂງ</v>
          </cell>
          <cell r="P122" t="str">
            <v>ໂຂງ</v>
          </cell>
          <cell r="Q122" t="str">
            <v>ຈໍາປາສັກ</v>
          </cell>
          <cell r="R122" t="str">
            <v>ນາໄຊ</v>
          </cell>
          <cell r="S122" t="str">
            <v>ໄຊເສດຖາ</v>
          </cell>
          <cell r="T122" t="str">
            <v>ນະຄອນຫຼວງ</v>
          </cell>
          <cell r="X122" t="str">
            <v>16-0340067</v>
          </cell>
          <cell r="Y122" t="str">
            <v>ລລ</v>
          </cell>
          <cell r="Z122" t="str">
            <v>ພຸດ</v>
          </cell>
          <cell r="AA122" t="str">
            <v>ບໍ່ມີ</v>
          </cell>
          <cell r="AB122">
            <v>44923</v>
          </cell>
          <cell r="AC122">
            <v>44923</v>
          </cell>
          <cell r="AI122">
            <v>43249</v>
          </cell>
          <cell r="AJ122">
            <v>43615</v>
          </cell>
          <cell r="AM122" t="str">
            <v>ຊ່ວຍວຽກ</v>
          </cell>
          <cell r="AN122" t="str">
            <v>ມ 7</v>
          </cell>
          <cell r="AP122" t="str">
            <v>ຊຕ</v>
          </cell>
          <cell r="AQ122" t="str">
            <v>ພາຍໃນ</v>
          </cell>
          <cell r="AR122" t="str">
            <v>ທົ່ວໄປ</v>
          </cell>
          <cell r="AS122" t="str">
            <v>ກໍ່ສ້າງ</v>
          </cell>
          <cell r="AT122" t="str">
            <v>ສູນຝຶກອົບຮົມວິຊາສະເພາະຄົບວົງຈອນ</v>
          </cell>
          <cell r="AU122" t="str">
            <v>1 ປີ</v>
          </cell>
          <cell r="AV122" t="str">
            <v>2023 - 2024</v>
          </cell>
          <cell r="BJ122" t="str">
            <v>ສົມສະຫວິນ</v>
          </cell>
          <cell r="BK122" t="str">
            <v>ຕ</v>
          </cell>
          <cell r="BQ122" t="str">
            <v>ຈຽມໃຈ</v>
          </cell>
          <cell r="BR122">
            <v>53</v>
          </cell>
          <cell r="BS122" t="str">
            <v>ຫົວໂຂງ</v>
          </cell>
          <cell r="BT122" t="str">
            <v>ໂຂງ</v>
          </cell>
          <cell r="BU122" t="str">
            <v>ຈໍາປາສັກ</v>
          </cell>
          <cell r="BV122" t="str">
            <v>ຊາວນາ</v>
          </cell>
          <cell r="CF122">
            <v>59566013</v>
          </cell>
          <cell r="CH122" t="str">
            <v>ປກສ</v>
          </cell>
        </row>
        <row r="123">
          <cell r="G123" t="str">
            <v>ນ. ຕຸກຕາ ອຸດົມຮັກ</v>
          </cell>
          <cell r="H123" t="str">
            <v>ສທ</v>
          </cell>
          <cell r="J123" t="str">
            <v>ຍິງ</v>
          </cell>
          <cell r="K123">
            <v>38697</v>
          </cell>
          <cell r="L123" t="str">
            <v>19 ປີ</v>
          </cell>
          <cell r="M123">
            <v>45336</v>
          </cell>
          <cell r="O123" t="str">
            <v>ຜາສັງ</v>
          </cell>
          <cell r="P123" t="str">
            <v>ເຟືອງ</v>
          </cell>
          <cell r="Q123" t="str">
            <v>ວຽງຈັນ</v>
          </cell>
          <cell r="R123" t="str">
            <v>ນາໄຊ</v>
          </cell>
          <cell r="S123" t="str">
            <v>ໄຊເສດຖາ</v>
          </cell>
          <cell r="T123" t="str">
            <v>ນະຄອນຫຼວງ</v>
          </cell>
          <cell r="X123" t="str">
            <v>10-0179592</v>
          </cell>
          <cell r="Y123" t="str">
            <v>ລລ</v>
          </cell>
          <cell r="Z123" t="str">
            <v>ພຸດ</v>
          </cell>
          <cell r="AA123" t="str">
            <v>ບໍ່ມີ</v>
          </cell>
          <cell r="AB123">
            <v>44923</v>
          </cell>
          <cell r="AC123">
            <v>44923</v>
          </cell>
          <cell r="AI123">
            <v>43175</v>
          </cell>
          <cell r="AJ123">
            <v>43216</v>
          </cell>
          <cell r="AM123" t="str">
            <v>ຊ່ວຍວຽກ</v>
          </cell>
          <cell r="AN123" t="str">
            <v>ມ 7</v>
          </cell>
          <cell r="AP123" t="str">
            <v>ຊຕ</v>
          </cell>
          <cell r="AQ123" t="str">
            <v>ພາຍໃນ</v>
          </cell>
          <cell r="AR123" t="str">
            <v>ທົ່ວໄປ</v>
          </cell>
          <cell r="AS123" t="str">
            <v>ກໍ່ສ້າງ</v>
          </cell>
          <cell r="AT123" t="str">
            <v>ສູນຝຶກອົບຮົມວິຊາສະເພາະຄົບວົງຈອນ</v>
          </cell>
          <cell r="AU123" t="str">
            <v>1 ປີ</v>
          </cell>
          <cell r="AV123" t="str">
            <v>2023 - 2024</v>
          </cell>
          <cell r="BJ123" t="str">
            <v>ຄໍາຜົງ</v>
          </cell>
          <cell r="BK123">
            <v>44</v>
          </cell>
          <cell r="BL123" t="str">
            <v>ຜາສັງ</v>
          </cell>
          <cell r="BM123" t="str">
            <v>ເຟືອງ</v>
          </cell>
          <cell r="BN123" t="str">
            <v>ວຽງຈັນ</v>
          </cell>
          <cell r="BO123" t="str">
            <v>ຄ້າຂາຍ</v>
          </cell>
          <cell r="BQ123" t="str">
            <v>ກອງຄໍາ</v>
          </cell>
          <cell r="BR123">
            <v>43</v>
          </cell>
          <cell r="BS123" t="str">
            <v>ຜາສັງ</v>
          </cell>
          <cell r="BT123" t="str">
            <v>ເຟືອງ</v>
          </cell>
          <cell r="BU123" t="str">
            <v>ວຽງຈັນ</v>
          </cell>
          <cell r="BV123" t="str">
            <v>ພະນັກງານ</v>
          </cell>
          <cell r="BW123" t="str">
            <v>ໂຮງໝໍນ້ອຍຜາສັງ</v>
          </cell>
          <cell r="CF123">
            <v>91175123</v>
          </cell>
          <cell r="CH123" t="str">
            <v>ປກສ</v>
          </cell>
        </row>
        <row r="124">
          <cell r="G124" t="str">
            <v>ນ. ລັດດາ ສີມຸງຄຸນ</v>
          </cell>
          <cell r="H124" t="str">
            <v>ສທ</v>
          </cell>
          <cell r="J124" t="str">
            <v>ຍິງ</v>
          </cell>
          <cell r="K124">
            <v>37670</v>
          </cell>
          <cell r="L124" t="str">
            <v>22 ປີ</v>
          </cell>
          <cell r="M124">
            <v>45686</v>
          </cell>
          <cell r="O124" t="str">
            <v>ດົງບອງ</v>
          </cell>
          <cell r="P124" t="str">
            <v>ນາຊາຍທອງ</v>
          </cell>
          <cell r="Q124" t="str">
            <v>ນະຄອນຫຼວງ</v>
          </cell>
          <cell r="R124" t="str">
            <v>ດົງບອງ</v>
          </cell>
          <cell r="S124" t="str">
            <v>ນາຊາຍທອງ</v>
          </cell>
          <cell r="T124" t="str">
            <v>ນະຄອນຫຼວງ</v>
          </cell>
          <cell r="U124">
            <v>193</v>
          </cell>
          <cell r="X124" t="str">
            <v>01-23050452</v>
          </cell>
          <cell r="Y124" t="str">
            <v>ລລ</v>
          </cell>
          <cell r="Z124" t="str">
            <v>ພຸດ</v>
          </cell>
          <cell r="AB124">
            <v>45285</v>
          </cell>
          <cell r="AC124">
            <v>45285</v>
          </cell>
          <cell r="AI124">
            <v>43086</v>
          </cell>
          <cell r="AJ124">
            <v>43446</v>
          </cell>
          <cell r="AM124" t="str">
            <v>ຊ່ວຍວຽກ</v>
          </cell>
          <cell r="AN124" t="str">
            <v>ມ 7</v>
          </cell>
          <cell r="AP124" t="str">
            <v>ຊຕ</v>
          </cell>
          <cell r="AQ124" t="str">
            <v>ພາຍໃນ</v>
          </cell>
          <cell r="AR124" t="str">
            <v>ປ້ອງການສູນກາງ</v>
          </cell>
          <cell r="AS124" t="str">
            <v>ກໍ່ສ້າງ</v>
          </cell>
          <cell r="AT124" t="str">
            <v>ໂຮງຮຽນ ປກສ ຊັ້ນຕົ້ນປ້ອງກັນສູນກາງ</v>
          </cell>
          <cell r="AU124" t="str">
            <v>01 ປີ</v>
          </cell>
          <cell r="AV124" t="str">
            <v>2024 - 2025</v>
          </cell>
          <cell r="AW124" t="str">
            <v>ຊສ</v>
          </cell>
          <cell r="AY124" t="str">
            <v>ຄຸ້ມຄອງຫ້ອງການ</v>
          </cell>
          <cell r="AZ124" t="str">
            <v>ກໍ່ສ້າງ</v>
          </cell>
          <cell r="BA124" t="str">
            <v>ວິທະຍາໄລ ເຕັກນິກ ປາກປ່າສັກ</v>
          </cell>
          <cell r="BB124" t="str">
            <v>03 ປີ</v>
          </cell>
          <cell r="BC124" t="str">
            <v>2020 - 2023</v>
          </cell>
          <cell r="BJ124" t="str">
            <v>ບຸນວິໄລສັກ</v>
          </cell>
          <cell r="BK124">
            <v>54</v>
          </cell>
          <cell r="BL124" t="str">
            <v>ດົງບອງ</v>
          </cell>
          <cell r="BM124" t="str">
            <v>ນາຊາຍທອງ</v>
          </cell>
          <cell r="BN124" t="str">
            <v>ນະຄອນຫຼວງ</v>
          </cell>
          <cell r="BO124" t="str">
            <v>ທະຫານ</v>
          </cell>
          <cell r="BP124" t="str">
            <v>ສູນ 13/ ກົມ213</v>
          </cell>
          <cell r="BQ124" t="str">
            <v>ພອນແກ້ວ</v>
          </cell>
          <cell r="BR124">
            <v>46</v>
          </cell>
          <cell r="BS124" t="str">
            <v>ດົງບອງ</v>
          </cell>
          <cell r="BT124" t="str">
            <v>ນາຊາຍທອງ</v>
          </cell>
          <cell r="BU124" t="str">
            <v>ນະຄອນຫຼວງ</v>
          </cell>
          <cell r="BV124" t="str">
            <v>ທະຫານ</v>
          </cell>
          <cell r="BW124" t="str">
            <v>ສູນ 13/ ກົມ213</v>
          </cell>
          <cell r="CF124">
            <v>77462376</v>
          </cell>
          <cell r="CH124" t="str">
            <v>ປກສ</v>
          </cell>
          <cell r="CI124">
            <v>45729</v>
          </cell>
          <cell r="CJ124" t="str">
            <v>619/ຫກ</v>
          </cell>
        </row>
        <row r="125">
          <cell r="G125" t="str">
            <v>ນ. ຄານດາວອນ ເພັດສະລາດ</v>
          </cell>
          <cell r="H125" t="str">
            <v>ສທ</v>
          </cell>
          <cell r="J125" t="str">
            <v>ຍິງ</v>
          </cell>
          <cell r="K125">
            <v>38986</v>
          </cell>
          <cell r="L125" t="str">
            <v>18 ປີ</v>
          </cell>
          <cell r="M125">
            <v>45678</v>
          </cell>
          <cell r="O125" t="str">
            <v>ໜອງພະຍາ</v>
          </cell>
          <cell r="P125" t="str">
            <v>ໄຊທານີ</v>
          </cell>
          <cell r="Q125" t="str">
            <v>ນະຄອນຫຼວງ</v>
          </cell>
          <cell r="R125" t="str">
            <v>ໂນນແສງຈັນ</v>
          </cell>
          <cell r="S125" t="str">
            <v>ໄຊທານີ</v>
          </cell>
          <cell r="T125" t="str">
            <v>ນະຄອນຫຼວງ</v>
          </cell>
          <cell r="Y125" t="str">
            <v>ລລ</v>
          </cell>
          <cell r="Z125" t="str">
            <v>ພຸດ</v>
          </cell>
          <cell r="AB125">
            <v>44803</v>
          </cell>
          <cell r="AC125">
            <v>44803</v>
          </cell>
          <cell r="AI125">
            <v>43824</v>
          </cell>
          <cell r="AJ125">
            <v>43908</v>
          </cell>
          <cell r="AM125" t="str">
            <v>ຊ່ວຍວຽກ</v>
          </cell>
          <cell r="AN125" t="str">
            <v>ມ 7</v>
          </cell>
          <cell r="AP125" t="str">
            <v>ຊຕ</v>
          </cell>
          <cell r="AQ125" t="str">
            <v>ພາຍໃນ</v>
          </cell>
          <cell r="AR125" t="str">
            <v>ປ້ອງກັນເຄື່ອນທີ່</v>
          </cell>
          <cell r="AS125" t="str">
            <v>ກໍ່ສ້າງ</v>
          </cell>
          <cell r="AT125" t="str">
            <v>ສູນຝຶກອົບຮົມຕໍາຫຼວດນາຍສິບດົງຊຽງດີ</v>
          </cell>
          <cell r="AU125" t="str">
            <v>01 ປີ</v>
          </cell>
          <cell r="AV125" t="str">
            <v>2024 - 2025</v>
          </cell>
          <cell r="BJ125" t="str">
            <v>ຄໍາໄຊ ເພັດສະລາດ</v>
          </cell>
          <cell r="BK125">
            <v>46</v>
          </cell>
          <cell r="BL125" t="str">
            <v>ໂນນແສງຈັນ</v>
          </cell>
          <cell r="BM125" t="str">
            <v>ໄຊທານີ</v>
          </cell>
          <cell r="BN125" t="str">
            <v>ນະຄອນຫຼວງ</v>
          </cell>
          <cell r="BO125" t="str">
            <v>ປະຊາຊົນ</v>
          </cell>
          <cell r="BQ125" t="str">
            <v>ຄໍາຫຼ້າ ເພັດສະລາດ</v>
          </cell>
          <cell r="BR125">
            <v>40</v>
          </cell>
          <cell r="BS125" t="str">
            <v>ໂນນແສງຈັນ</v>
          </cell>
          <cell r="BT125" t="str">
            <v>ໄຊທານີ</v>
          </cell>
          <cell r="BU125" t="str">
            <v>ນະຄອນຫຼວງ</v>
          </cell>
          <cell r="BV125" t="str">
            <v>ປະຊາຊົນ</v>
          </cell>
          <cell r="CF125">
            <v>76679657</v>
          </cell>
          <cell r="CH125" t="str">
            <v>ປກສ</v>
          </cell>
          <cell r="CI125">
            <v>45729</v>
          </cell>
          <cell r="CJ125" t="str">
            <v>619/ຫກ</v>
          </cell>
        </row>
        <row r="126">
          <cell r="G126" t="str">
            <v>ນ. ເອຊ່ຽນ ແກ້ວສຸດທິວົງ</v>
          </cell>
          <cell r="H126" t="str">
            <v>ສທ</v>
          </cell>
          <cell r="J126" t="str">
            <v>ຍິງ</v>
          </cell>
          <cell r="K126">
            <v>38316</v>
          </cell>
          <cell r="L126" t="str">
            <v>20 ປີ</v>
          </cell>
          <cell r="M126">
            <v>45678</v>
          </cell>
          <cell r="O126" t="str">
            <v>ໂພນຫໍ</v>
          </cell>
          <cell r="P126" t="str">
            <v>ໂພນໂຮງ</v>
          </cell>
          <cell r="Q126" t="str">
            <v>ວຽງຈັນ</v>
          </cell>
          <cell r="R126" t="str">
            <v>ໂພນຫໍ</v>
          </cell>
          <cell r="S126" t="str">
            <v>ໂພນໂຮງ</v>
          </cell>
          <cell r="T126" t="str">
            <v>ວຽງຈັນ</v>
          </cell>
          <cell r="X126" t="str">
            <v>10-0191616</v>
          </cell>
          <cell r="Y126" t="str">
            <v>ລລ</v>
          </cell>
          <cell r="Z126" t="str">
            <v>ພຸດ</v>
          </cell>
          <cell r="AB126">
            <v>44438</v>
          </cell>
          <cell r="AC126">
            <v>44438</v>
          </cell>
          <cell r="AI126">
            <v>43941</v>
          </cell>
          <cell r="AJ126">
            <v>43598</v>
          </cell>
          <cell r="AM126" t="str">
            <v>ຊ່ວຍວຽກ</v>
          </cell>
          <cell r="AN126" t="str">
            <v>ມ 7</v>
          </cell>
          <cell r="AP126" t="str">
            <v>ຊຕ</v>
          </cell>
          <cell r="AQ126" t="str">
            <v>ພາຍໃນ</v>
          </cell>
          <cell r="AR126" t="str">
            <v>ປ້ອງກັນເຄື່ອນທີ່</v>
          </cell>
          <cell r="AS126" t="str">
            <v>ກໍ່ສ້າງ</v>
          </cell>
          <cell r="AT126" t="str">
            <v>ສູນຝຶກອົບຮົມຕໍາຫຼວດດົງຊຽງດີ</v>
          </cell>
          <cell r="AU126" t="str">
            <v>01 ປີ</v>
          </cell>
          <cell r="AV126" t="str">
            <v>2024 - 2025</v>
          </cell>
          <cell r="BJ126" t="str">
            <v>ພູໄຊ ສໍພາບມີໄຊ</v>
          </cell>
          <cell r="BK126">
            <v>51</v>
          </cell>
          <cell r="BL126" t="str">
            <v>ໂພນຫໍ</v>
          </cell>
          <cell r="BM126" t="str">
            <v>ໂພນໂຮງ</v>
          </cell>
          <cell r="BN126" t="str">
            <v>ວຽງຈັນ</v>
          </cell>
          <cell r="BO126" t="str">
            <v>ປະຊາຊົນ</v>
          </cell>
          <cell r="BQ126" t="str">
            <v>ຈູ່ຄໍາ ແກ້ວສຸດທິວົງ</v>
          </cell>
          <cell r="BR126">
            <v>42</v>
          </cell>
          <cell r="BS126" t="str">
            <v>ໂພນຫໍ</v>
          </cell>
          <cell r="BT126" t="str">
            <v>ໂພນໂຮງ</v>
          </cell>
          <cell r="BU126" t="str">
            <v>ວຽງຈັນ</v>
          </cell>
          <cell r="BV126" t="str">
            <v>ພະນັກງານ</v>
          </cell>
          <cell r="BW126" t="str">
            <v>ໂຮງໝໍເມືອງໂພນໂຮງ</v>
          </cell>
          <cell r="CF126">
            <v>59645191</v>
          </cell>
          <cell r="CH126" t="str">
            <v>ປກສ</v>
          </cell>
          <cell r="CI126">
            <v>45729</v>
          </cell>
          <cell r="CJ126" t="str">
            <v>619/ຫກ</v>
          </cell>
        </row>
        <row r="127">
          <cell r="G127" t="str">
            <v>ນ. ມະໄລພອນ ພະບາດໄຊ</v>
          </cell>
          <cell r="H127" t="str">
            <v>ສທ</v>
          </cell>
          <cell r="J127" t="str">
            <v>ຍິງ</v>
          </cell>
          <cell r="K127">
            <v>38396</v>
          </cell>
          <cell r="L127" t="str">
            <v>20 ປີ</v>
          </cell>
          <cell r="M127">
            <v>45691</v>
          </cell>
          <cell r="O127" t="str">
            <v>ໂພນໂຮງ</v>
          </cell>
          <cell r="P127" t="str">
            <v>ຄໍາເກີດ</v>
          </cell>
          <cell r="Q127" t="str">
            <v>ບໍລິຄໍາໄຊ</v>
          </cell>
          <cell r="R127" t="str">
            <v>ຄໍາຮຸ່ງ</v>
          </cell>
          <cell r="S127" t="str">
            <v>ໄຊທານີ</v>
          </cell>
          <cell r="T127" t="str">
            <v>ນະຄອນຫຼວງ</v>
          </cell>
          <cell r="U127">
            <v>854</v>
          </cell>
          <cell r="Y127" t="str">
            <v>ລລ</v>
          </cell>
          <cell r="Z127" t="str">
            <v>ພຸດ</v>
          </cell>
          <cell r="AB127">
            <v>44440</v>
          </cell>
          <cell r="AC127">
            <v>44440</v>
          </cell>
          <cell r="AI127">
            <v>43915</v>
          </cell>
          <cell r="AJ127">
            <v>44013</v>
          </cell>
          <cell r="AM127" t="str">
            <v>ຊ່ວຍວຽກ</v>
          </cell>
          <cell r="AN127" t="str">
            <v>ມ 7</v>
          </cell>
          <cell r="AO127" t="str">
            <v>ອັງກິດ</v>
          </cell>
          <cell r="AP127" t="str">
            <v>ຊຕ</v>
          </cell>
          <cell r="AQ127" t="str">
            <v>ພາຍໃນ</v>
          </cell>
          <cell r="AR127" t="str">
            <v>ປ້ອງກັນທີ່ຕັ້ງ</v>
          </cell>
          <cell r="AS127" t="str">
            <v>ກໍ່ສ້າງ</v>
          </cell>
          <cell r="AT127" t="str">
            <v>ສູນຝຶກວິຊາສະເພາະປ້ອງກັນທີ່ຕັ້ງ</v>
          </cell>
          <cell r="AU127" t="str">
            <v>01 ປີ</v>
          </cell>
          <cell r="AV127" t="str">
            <v>2024 - 2025</v>
          </cell>
          <cell r="BJ127" t="str">
            <v>ລໍາເງິນ ພະບາດໄຊ</v>
          </cell>
          <cell r="BK127">
            <v>52</v>
          </cell>
          <cell r="BL127" t="str">
            <v>ໂພນໂຮງ</v>
          </cell>
          <cell r="BM127" t="str">
            <v>ຄໍາເກີດ</v>
          </cell>
          <cell r="BN127" t="str">
            <v>ບໍລິຄໍາໄຊ</v>
          </cell>
          <cell r="BO127" t="str">
            <v>ຕໍາຫຼວດ</v>
          </cell>
          <cell r="BP127" t="str">
            <v>ປກສ ແຂວງບໍລິຄໍາໄຊ</v>
          </cell>
          <cell r="BQ127" t="str">
            <v>ສາຍ ພະບາດໄຊ</v>
          </cell>
          <cell r="BR127">
            <v>42</v>
          </cell>
          <cell r="BS127" t="str">
            <v>ໂພນໂຮງ</v>
          </cell>
          <cell r="BT127" t="str">
            <v>ຄໍາເກີດ</v>
          </cell>
          <cell r="BU127" t="str">
            <v>ບໍລິຄໍາໄຊ</v>
          </cell>
          <cell r="BV127" t="str">
            <v>ຄ້າຂາຍ</v>
          </cell>
          <cell r="CF127">
            <v>96771006</v>
          </cell>
          <cell r="CH127" t="str">
            <v>ປກສ</v>
          </cell>
          <cell r="CI127">
            <v>45729</v>
          </cell>
          <cell r="CJ127" t="str">
            <v>619/ຫກ</v>
          </cell>
        </row>
        <row r="128">
          <cell r="G128" t="str">
            <v>ນ. ໄຊຕາວັນ ວົງໄຊ</v>
          </cell>
          <cell r="H128" t="str">
            <v>ສທ</v>
          </cell>
          <cell r="J128" t="str">
            <v>ຍິງ</v>
          </cell>
          <cell r="K128">
            <v>38409</v>
          </cell>
          <cell r="L128" t="str">
            <v>20 ປີ</v>
          </cell>
          <cell r="M128">
            <v>45694</v>
          </cell>
          <cell r="O128" t="str">
            <v>ຈັນສະຫວ່າງ</v>
          </cell>
          <cell r="P128" t="str">
            <v>ສີໂຄດຕະບອງ</v>
          </cell>
          <cell r="Q128" t="str">
            <v>ນະຄອນຫຼວງ</v>
          </cell>
          <cell r="R128" t="str">
            <v>ຫ້ວຍທົນ</v>
          </cell>
          <cell r="S128" t="str">
            <v>ໂພນໂຮງ</v>
          </cell>
          <cell r="T128" t="str">
            <v>ວຽງຈັນ</v>
          </cell>
          <cell r="Y128" t="str">
            <v>ລລ</v>
          </cell>
          <cell r="Z128" t="str">
            <v>ພຸດ</v>
          </cell>
          <cell r="AB128">
            <v>44438</v>
          </cell>
          <cell r="AC128">
            <v>44438</v>
          </cell>
          <cell r="AI128">
            <v>43881</v>
          </cell>
          <cell r="AJ128">
            <v>44269</v>
          </cell>
          <cell r="AM128" t="str">
            <v>ຊ່ວຍວຽກ</v>
          </cell>
          <cell r="AN128" t="str">
            <v>ມ 7</v>
          </cell>
          <cell r="AP128" t="str">
            <v>ຊຕ</v>
          </cell>
          <cell r="AQ128" t="str">
            <v>ພາຍໃນ</v>
          </cell>
          <cell r="AR128" t="str">
            <v>ສື່ສານ</v>
          </cell>
          <cell r="AS128" t="str">
            <v>ກໍ່ສ້າງ</v>
          </cell>
          <cell r="AT128" t="str">
            <v>ສູນຝຶກອົບຮົມກົມໃຫຍ່</v>
          </cell>
          <cell r="AU128" t="str">
            <v>01 ປີ</v>
          </cell>
          <cell r="AV128" t="str">
            <v>2024 - 2025</v>
          </cell>
          <cell r="BJ128" t="str">
            <v>ທອງສະຫວາດ</v>
          </cell>
          <cell r="BK128">
            <v>52</v>
          </cell>
          <cell r="BL128" t="str">
            <v>ຫ້ວຍທົນ</v>
          </cell>
          <cell r="BM128" t="str">
            <v>ໂພນໂຮງ</v>
          </cell>
          <cell r="BN128" t="str">
            <v>ວຽງຈັນ</v>
          </cell>
          <cell r="BO128" t="str">
            <v>ຕໍາຫຼວດ</v>
          </cell>
          <cell r="BQ128" t="str">
            <v>ມີລາວັນ</v>
          </cell>
          <cell r="BR128">
            <v>42</v>
          </cell>
          <cell r="BS128" t="str">
            <v>ຫ້ວຍທົນ</v>
          </cell>
          <cell r="BT128" t="str">
            <v>ໂພນໂຮງ</v>
          </cell>
          <cell r="BU128" t="str">
            <v>ວຽງຈັນ</v>
          </cell>
          <cell r="BV128" t="str">
            <v>ປະຊາຊົນ</v>
          </cell>
          <cell r="CF128">
            <v>76830267</v>
          </cell>
          <cell r="CH128" t="str">
            <v>ປກສ</v>
          </cell>
          <cell r="CI128">
            <v>45729</v>
          </cell>
          <cell r="CJ128" t="str">
            <v>619/ຫກ</v>
          </cell>
        </row>
        <row r="129">
          <cell r="G129" t="str">
            <v>ນ. ນໍ້າຝົນ ພົມມະຈັນ</v>
          </cell>
          <cell r="H129" t="str">
            <v>ສທ</v>
          </cell>
          <cell r="J129" t="str">
            <v>ຍິງ</v>
          </cell>
          <cell r="K129">
            <v>38526</v>
          </cell>
          <cell r="L129" t="str">
            <v>19 ປີ</v>
          </cell>
          <cell r="M129">
            <v>45699</v>
          </cell>
          <cell r="O129" t="str">
            <v>ສາຍນໍ້າເງິນ</v>
          </cell>
          <cell r="P129" t="str">
            <v>ໄຊທານີ</v>
          </cell>
          <cell r="Q129" t="str">
            <v>ນະຄອນຫຼວງ</v>
          </cell>
          <cell r="R129" t="str">
            <v>ສາຍນໍ້າເງິນ</v>
          </cell>
          <cell r="S129" t="str">
            <v>ໄຊທານີ</v>
          </cell>
          <cell r="T129" t="str">
            <v>ນະຄອນຫຼວງ</v>
          </cell>
          <cell r="U129">
            <v>82</v>
          </cell>
          <cell r="X129" t="str">
            <v>01-20020137</v>
          </cell>
          <cell r="Y129" t="str">
            <v>ລລ</v>
          </cell>
          <cell r="Z129" t="str">
            <v>ພຸດ</v>
          </cell>
          <cell r="AB129">
            <v>44438</v>
          </cell>
          <cell r="AC129">
            <v>44438</v>
          </cell>
          <cell r="AI129">
            <v>44221</v>
          </cell>
          <cell r="AJ129">
            <v>44651</v>
          </cell>
          <cell r="AM129" t="str">
            <v>ຊ່ວຍວຽກ</v>
          </cell>
          <cell r="AN129" t="str">
            <v>ມ 7</v>
          </cell>
          <cell r="AP129" t="str">
            <v>ຊຕ</v>
          </cell>
          <cell r="AQ129" t="str">
            <v>ພາຍໃນ</v>
          </cell>
          <cell r="AR129" t="str">
            <v>ປ້ອງກັນຄວາມສະຫງົບທົ່ວໄປ</v>
          </cell>
          <cell r="AS129" t="str">
            <v>ກໍ່ສ້າງ</v>
          </cell>
          <cell r="AT129" t="str">
            <v>ໂຮງຮຽນ ປກສ ຊັ້ນຕົ້ນເລກ 3</v>
          </cell>
          <cell r="AU129" t="str">
            <v>01 ປີ</v>
          </cell>
          <cell r="AV129" t="str">
            <v>2024 - 2025</v>
          </cell>
          <cell r="BJ129" t="str">
            <v>ສີນວນ</v>
          </cell>
          <cell r="BK129">
            <v>50</v>
          </cell>
          <cell r="BL129" t="str">
            <v>ສາຍນໍ້າເງິນ</v>
          </cell>
          <cell r="BM129" t="str">
            <v>ໄຊທານີ</v>
          </cell>
          <cell r="BN129" t="str">
            <v>ນະຄອນຫຼວງ</v>
          </cell>
          <cell r="BO129" t="str">
            <v>ພະນັກງານ</v>
          </cell>
          <cell r="BP129" t="str">
            <v>ທະນາຄານແຫ່ງ ສປປ ລາວ</v>
          </cell>
          <cell r="BQ129" t="str">
            <v>ພວງເປ</v>
          </cell>
          <cell r="BR129">
            <v>50</v>
          </cell>
          <cell r="BS129" t="str">
            <v>ສາຍນໍ້າເງິນ</v>
          </cell>
          <cell r="BT129" t="str">
            <v>ໄຊທານີ</v>
          </cell>
          <cell r="BU129" t="str">
            <v>ນະຄອນຫຼວງ</v>
          </cell>
          <cell r="BV129" t="str">
            <v>ທະຫານ</v>
          </cell>
          <cell r="BW129" t="str">
            <v>ອົງການສູນບັນຊາ 761</v>
          </cell>
          <cell r="CF129">
            <v>54544232</v>
          </cell>
          <cell r="CH129" t="str">
            <v>ປກສ</v>
          </cell>
          <cell r="CI129">
            <v>45729</v>
          </cell>
          <cell r="CJ129" t="str">
            <v>619/ຫກ</v>
          </cell>
        </row>
        <row r="130">
          <cell r="G130" t="str">
            <v>ນ. ດອກມະລິ ກອນທິສັກ</v>
          </cell>
          <cell r="H130" t="str">
            <v>ສທ</v>
          </cell>
          <cell r="J130" t="str">
            <v>ຍິງ</v>
          </cell>
          <cell r="K130">
            <v>38660</v>
          </cell>
          <cell r="L130" t="str">
            <v>19 ປີ</v>
          </cell>
          <cell r="M130">
            <v>45678</v>
          </cell>
          <cell r="O130" t="str">
            <v>ສອນມີໄຊ</v>
          </cell>
          <cell r="P130" t="str">
            <v>ເຊໂປນ</v>
          </cell>
          <cell r="Q130" t="str">
            <v>ສະຫວັນນະເຂດ</v>
          </cell>
          <cell r="R130" t="str">
            <v>ສອນມີໄຊ</v>
          </cell>
          <cell r="S130" t="str">
            <v>ເຊໂປນ</v>
          </cell>
          <cell r="T130" t="str">
            <v>ສະຫວັນນະເຂດ</v>
          </cell>
          <cell r="U130">
            <v>105</v>
          </cell>
          <cell r="X130" t="str">
            <v>13-24000801</v>
          </cell>
          <cell r="Y130" t="str">
            <v>ຜູ້ໄທ</v>
          </cell>
          <cell r="Z130" t="str">
            <v>ພຸດ</v>
          </cell>
          <cell r="AB130">
            <v>44438</v>
          </cell>
          <cell r="AC130">
            <v>44438</v>
          </cell>
          <cell r="AI130">
            <v>44029</v>
          </cell>
          <cell r="AJ130">
            <v>43903</v>
          </cell>
          <cell r="AM130" t="str">
            <v>ຊ່ວຍວຽກ</v>
          </cell>
          <cell r="AN130" t="str">
            <v>ມ 7</v>
          </cell>
          <cell r="AP130" t="str">
            <v>ຊຕ</v>
          </cell>
          <cell r="AQ130" t="str">
            <v>ພາຍໃນ</v>
          </cell>
          <cell r="AR130" t="str">
            <v>ປ້ອງກັນເຄື່ອນທີ່</v>
          </cell>
          <cell r="AS130" t="str">
            <v>ກໍ່ສ້າງ</v>
          </cell>
          <cell r="AT130" t="str">
            <v>ສູນຝຶກອົບຮົມຕໍາຫຼວດດົງຊຽງດີ</v>
          </cell>
          <cell r="AU130" t="str">
            <v>01 ປີ</v>
          </cell>
          <cell r="AV130" t="str">
            <v>2024 - 2025</v>
          </cell>
          <cell r="BJ130" t="str">
            <v>ຄໍາແພງ</v>
          </cell>
          <cell r="BK130">
            <v>54</v>
          </cell>
          <cell r="BL130" t="str">
            <v>ສອນມີໄຊ</v>
          </cell>
          <cell r="BM130" t="str">
            <v>ເຊໂປນ</v>
          </cell>
          <cell r="BN130" t="str">
            <v>ສະຫວັນນະເຂດ</v>
          </cell>
          <cell r="BO130" t="str">
            <v>ທະຫານ</v>
          </cell>
          <cell r="BP130" t="str">
            <v>ກອງບັນຊາການທະຫານເມືອງເຊໂປນ</v>
          </cell>
          <cell r="BQ130" t="str">
            <v>ເພັດມະນີ</v>
          </cell>
          <cell r="BR130">
            <v>49</v>
          </cell>
          <cell r="BS130" t="str">
            <v>ສອນມີໄຊ</v>
          </cell>
          <cell r="BT130" t="str">
            <v>ເຊໂປນ</v>
          </cell>
          <cell r="BU130" t="str">
            <v>ສະຫວັນນະເຂດ</v>
          </cell>
          <cell r="BV130" t="str">
            <v>ພະນັກງານ</v>
          </cell>
          <cell r="BW130" t="str">
            <v>ໂຄງການເກັບກູ້ລະເບີດເມືອງເຊໂປນ</v>
          </cell>
          <cell r="CF130">
            <v>98744104</v>
          </cell>
          <cell r="CH130" t="str">
            <v>ປກສ</v>
          </cell>
          <cell r="CI130">
            <v>45729</v>
          </cell>
          <cell r="CJ130" t="str">
            <v>619/ຫກ</v>
          </cell>
        </row>
        <row r="131">
          <cell r="G131" t="str">
            <v>ນ. ແສ່ວຄໍາ ພອນປະເສີດ</v>
          </cell>
          <cell r="H131" t="str">
            <v>ສທ</v>
          </cell>
          <cell r="J131" t="str">
            <v>ຍິງ</v>
          </cell>
          <cell r="K131">
            <v>37932</v>
          </cell>
          <cell r="L131" t="str">
            <v>21 ປີ</v>
          </cell>
          <cell r="M131">
            <v>45699</v>
          </cell>
          <cell r="O131" t="str">
            <v>ລາດຮ້ວງ</v>
          </cell>
          <cell r="P131" t="str">
            <v>ແປກ</v>
          </cell>
          <cell r="Q131" t="str">
            <v>ຊຽງຊວາງ</v>
          </cell>
          <cell r="R131" t="str">
            <v>ນາໄຊ</v>
          </cell>
          <cell r="S131" t="str">
            <v>ໄຊເສດຖາ</v>
          </cell>
          <cell r="T131" t="str">
            <v>ນະຄອນຫຼວງ</v>
          </cell>
          <cell r="U131">
            <v>381</v>
          </cell>
          <cell r="Y131" t="str">
            <v>ລລ</v>
          </cell>
          <cell r="Z131" t="str">
            <v>ພຸດ</v>
          </cell>
          <cell r="AB131">
            <v>45285</v>
          </cell>
          <cell r="AC131">
            <v>45285</v>
          </cell>
          <cell r="AI131">
            <v>43844</v>
          </cell>
          <cell r="AJ131">
            <v>43829</v>
          </cell>
          <cell r="AM131" t="str">
            <v>ຊ່ວຍວຽກ</v>
          </cell>
          <cell r="AN131" t="str">
            <v>ມ 7</v>
          </cell>
          <cell r="AP131" t="str">
            <v>ຊຕ</v>
          </cell>
          <cell r="AQ131" t="str">
            <v>ພາຍໃນ</v>
          </cell>
          <cell r="AR131" t="str">
            <v>ທົ່ວໄປ</v>
          </cell>
          <cell r="AS131" t="str">
            <v>ກໍ່ສ້າງ</v>
          </cell>
          <cell r="AT131" t="str">
            <v>ໂຮງຮຽນ ປກສ ຊັ້ນຕົ້ນເລກ 3</v>
          </cell>
          <cell r="AU131" t="str">
            <v>01 ປີ</v>
          </cell>
          <cell r="AV131" t="str">
            <v>2024 - 2025</v>
          </cell>
          <cell r="AW131" t="str">
            <v>ຊກ</v>
          </cell>
          <cell r="AY131" t="str">
            <v>ປຸງແຕ່ງ</v>
          </cell>
          <cell r="AZ131" t="str">
            <v>ກໍ່ສ້າງ</v>
          </cell>
          <cell r="BA131" t="str">
            <v>ເຕັກນິກວິຊາຊີບ ບີເອວວີ</v>
          </cell>
          <cell r="BB131" t="str">
            <v>01 ປີ</v>
          </cell>
          <cell r="BC131" t="str">
            <v>2024 - 2025</v>
          </cell>
          <cell r="BJ131" t="str">
            <v>ໄຊສົງຄາມ</v>
          </cell>
          <cell r="BK131">
            <v>51</v>
          </cell>
          <cell r="BL131" t="str">
            <v>ລາດຮ້ວງ</v>
          </cell>
          <cell r="BM131" t="str">
            <v>ແປກ</v>
          </cell>
          <cell r="BN131" t="str">
            <v>ຊຽງຂວາງ</v>
          </cell>
          <cell r="BO131" t="str">
            <v>ທະຫານ</v>
          </cell>
          <cell r="BP131" t="str">
            <v>ງໍ 174</v>
          </cell>
          <cell r="BQ131" t="str">
            <v>ເສີມ</v>
          </cell>
          <cell r="BR131">
            <v>41</v>
          </cell>
          <cell r="BS131" t="str">
            <v>ລາດຮ້ວງ</v>
          </cell>
          <cell r="BT131" t="str">
            <v>ແປກ</v>
          </cell>
          <cell r="BU131" t="str">
            <v>ຊຽງຂວາງ</v>
          </cell>
          <cell r="BV131" t="str">
            <v>ທະຫານ</v>
          </cell>
          <cell r="BW131" t="str">
            <v>ງໍ 174</v>
          </cell>
          <cell r="CF131">
            <v>78682769</v>
          </cell>
          <cell r="CH131" t="str">
            <v>ປກສ</v>
          </cell>
          <cell r="CI131">
            <v>45729</v>
          </cell>
          <cell r="CJ131" t="str">
            <v>619/ຫກ</v>
          </cell>
        </row>
        <row r="132">
          <cell r="G132" t="str">
            <v>ນ. ຄໍາພົ້ນ ງາມທິບພະໄກສອນ</v>
          </cell>
          <cell r="H132" t="str">
            <v>ສທ</v>
          </cell>
          <cell r="I132" t="str">
            <v>ຄໍາ</v>
          </cell>
          <cell r="J132" t="str">
            <v>ຍິງ</v>
          </cell>
          <cell r="K132">
            <v>37509</v>
          </cell>
          <cell r="L132" t="str">
            <v>22 ປີ</v>
          </cell>
          <cell r="M132">
            <v>45691</v>
          </cell>
          <cell r="O132" t="str">
            <v>ນາຫຼັກ</v>
          </cell>
          <cell r="P132" t="str">
            <v>ອາດສະພັງທອງ</v>
          </cell>
          <cell r="Q132" t="str">
            <v>ສະຫວັນນະເຂດ</v>
          </cell>
          <cell r="R132" t="str">
            <v>ນາໄຊ</v>
          </cell>
          <cell r="S132" t="str">
            <v>ໄຊເສດຖາ</v>
          </cell>
          <cell r="T132" t="str">
            <v>ນະຄອນຫຼວງ</v>
          </cell>
          <cell r="X132" t="str">
            <v>13-0367167</v>
          </cell>
          <cell r="Y132" t="str">
            <v>ຜູ້ໄທ</v>
          </cell>
          <cell r="Z132" t="str">
            <v>ພຸດ</v>
          </cell>
          <cell r="AB132">
            <v>45285</v>
          </cell>
          <cell r="AC132">
            <v>45285</v>
          </cell>
          <cell r="AI132">
            <v>43188</v>
          </cell>
          <cell r="AJ132">
            <v>43578</v>
          </cell>
          <cell r="AM132" t="str">
            <v>ຊ່ວຍວຽກ</v>
          </cell>
          <cell r="AN132" t="str">
            <v>ມ 7</v>
          </cell>
          <cell r="AP132" t="str">
            <v>ຊຕ</v>
          </cell>
          <cell r="AQ132" t="str">
            <v>ພາຍໃນ</v>
          </cell>
          <cell r="AR132" t="str">
            <v>ປ້ອງກັນທີ່ຕັ້ງ</v>
          </cell>
          <cell r="AS132" t="str">
            <v>ກໍ່ສ້າງ</v>
          </cell>
          <cell r="AT132" t="str">
            <v>ສູນຝຶກວິຊາສະເພາະປ້ອງກັນທີ່ຕັ້ງ</v>
          </cell>
          <cell r="AU132" t="str">
            <v>01 ປີ</v>
          </cell>
          <cell r="AV132" t="str">
            <v>2024 - 2025</v>
          </cell>
          <cell r="BJ132" t="str">
            <v>ສີສົມພັນ ແກ້ວຄໍາໂພ</v>
          </cell>
          <cell r="BK132">
            <v>49</v>
          </cell>
          <cell r="BL132" t="str">
            <v>ນາຫຼັກ</v>
          </cell>
          <cell r="BM132" t="str">
            <v>ອາດສະພັງທອງ</v>
          </cell>
          <cell r="BN132" t="str">
            <v>ສະຫວັນນະເຂດ</v>
          </cell>
          <cell r="BO132" t="str">
            <v>ປະຊາຊົນ</v>
          </cell>
          <cell r="BQ132" t="str">
            <v>ແພງ</v>
          </cell>
          <cell r="BR132">
            <v>48</v>
          </cell>
          <cell r="BS132" t="str">
            <v>ນາຫຼັກ</v>
          </cell>
          <cell r="BT132" t="str">
            <v>ອາດສະພັງທອງ</v>
          </cell>
          <cell r="BU132" t="str">
            <v>ສະຫວັນນະເຂດ</v>
          </cell>
          <cell r="BV132" t="str">
            <v>ປະຊາຊົນ</v>
          </cell>
          <cell r="CF132">
            <v>94380261</v>
          </cell>
          <cell r="CH132" t="str">
            <v>ປກສ</v>
          </cell>
          <cell r="CI132">
            <v>45729</v>
          </cell>
          <cell r="CJ132" t="str">
            <v>619/ຫກ</v>
          </cell>
        </row>
        <row r="133">
          <cell r="G133" t="str">
            <v>ນ. ທອງສີ ວັນນະທຸມ</v>
          </cell>
          <cell r="H133" t="str">
            <v>ສທ</v>
          </cell>
          <cell r="J133" t="str">
            <v>ຍິງ</v>
          </cell>
          <cell r="K133">
            <v>38382</v>
          </cell>
          <cell r="L133" t="str">
            <v>20 ປີ</v>
          </cell>
          <cell r="M133">
            <v>45686</v>
          </cell>
          <cell r="O133" t="str">
            <v>ຈັນສະຫວ່າງ</v>
          </cell>
          <cell r="P133" t="str">
            <v>ສີໂຄດຕະບອງ</v>
          </cell>
          <cell r="Q133" t="str">
            <v>ນະຄອນຫຼວງ</v>
          </cell>
          <cell r="R133" t="str">
            <v>ຈັນສະຫວ່າງ</v>
          </cell>
          <cell r="S133" t="str">
            <v>ສີໂຄດຕະບອງ</v>
          </cell>
          <cell r="T133" t="str">
            <v>ນະຄອນຫຼວງ</v>
          </cell>
          <cell r="X133">
            <v>123105148</v>
          </cell>
          <cell r="Y133" t="str">
            <v>ລລ</v>
          </cell>
          <cell r="Z133" t="str">
            <v>ພຸດ</v>
          </cell>
          <cell r="AB133">
            <v>45285</v>
          </cell>
          <cell r="AC133">
            <v>45285</v>
          </cell>
          <cell r="AI133">
            <v>44679</v>
          </cell>
          <cell r="AJ133">
            <v>45272</v>
          </cell>
          <cell r="AM133" t="str">
            <v>ຊ່ວຍວຽກ</v>
          </cell>
          <cell r="AN133" t="str">
            <v>ມ 7</v>
          </cell>
          <cell r="AP133" t="str">
            <v>ຊຕ</v>
          </cell>
          <cell r="AQ133" t="str">
            <v>ພາຍໃນ</v>
          </cell>
          <cell r="AR133" t="str">
            <v>ປ້ອງກັນສູນກາງ</v>
          </cell>
          <cell r="AS133" t="str">
            <v>ກໍ່ສ້າງ</v>
          </cell>
          <cell r="AT133" t="str">
            <v>ໂຮງຮຽນ ປກສ ຊັ້ນຕົ້ນປ້ອງກັນສູນກາງ</v>
          </cell>
          <cell r="AU133" t="str">
            <v>01 ປີ</v>
          </cell>
          <cell r="AV133" t="str">
            <v>2024 - 2025</v>
          </cell>
          <cell r="BJ133" t="str">
            <v>ພົມມາ</v>
          </cell>
          <cell r="BK133">
            <v>56</v>
          </cell>
          <cell r="BL133" t="str">
            <v>ຈັນສະຫວ່າງ</v>
          </cell>
          <cell r="BM133" t="str">
            <v>ສີໂຄດຕະບອງ</v>
          </cell>
          <cell r="BN133" t="str">
            <v>ນະຄອນຫຼວງ</v>
          </cell>
          <cell r="BO133" t="str">
            <v>ທະຫານ</v>
          </cell>
          <cell r="BP133" t="str">
            <v>ກອງບັນຊາການທະຫານນະຄອນຫຼວງ</v>
          </cell>
          <cell r="BQ133" t="str">
            <v>ສົມພອນ</v>
          </cell>
          <cell r="BR133">
            <v>46</v>
          </cell>
          <cell r="BS133" t="str">
            <v>ຈັນສະຫວ່າງ</v>
          </cell>
          <cell r="BT133" t="str">
            <v>ສີໂຄດຕະບອງ</v>
          </cell>
          <cell r="BU133" t="str">
            <v>ນະຄອນຫຼວງ</v>
          </cell>
          <cell r="BV133" t="str">
            <v>ຄ້າຂາຍ</v>
          </cell>
          <cell r="CF133">
            <v>94469987</v>
          </cell>
          <cell r="CH133" t="str">
            <v>ປກສ</v>
          </cell>
          <cell r="CI133">
            <v>45729</v>
          </cell>
          <cell r="CJ133" t="str">
            <v>619/ຫກ</v>
          </cell>
        </row>
        <row r="134">
          <cell r="G134" t="str">
            <v>ນ. ແສງອາທິດ ແກ້ວວັນມາ</v>
          </cell>
          <cell r="H134" t="str">
            <v>ສທ</v>
          </cell>
          <cell r="J134" t="str">
            <v>ຍິງ</v>
          </cell>
          <cell r="K134">
            <v>38492</v>
          </cell>
          <cell r="L134" t="str">
            <v>20 ປີ</v>
          </cell>
          <cell r="M134">
            <v>45698</v>
          </cell>
          <cell r="O134" t="str">
            <v>ໂພນງາມນາຟ້າຍ</v>
          </cell>
          <cell r="P134" t="str">
            <v>ທຸລະຄົມ</v>
          </cell>
          <cell r="Q134" t="str">
            <v>ວຽງຈັນ</v>
          </cell>
          <cell r="R134" t="str">
            <v>ໂພນງາມນາຟ້າຍ</v>
          </cell>
          <cell r="S134" t="str">
            <v>ທຸລະຄົມ</v>
          </cell>
          <cell r="T134" t="str">
            <v>ວຽງຈັນ</v>
          </cell>
          <cell r="U134">
            <v>186</v>
          </cell>
          <cell r="V134">
            <v>13</v>
          </cell>
          <cell r="X134" t="str">
            <v>10-0198617</v>
          </cell>
          <cell r="Y134" t="str">
            <v>ລລ</v>
          </cell>
          <cell r="Z134" t="str">
            <v>ພຸດ</v>
          </cell>
          <cell r="AB134">
            <v>44094</v>
          </cell>
          <cell r="AC134">
            <v>44094</v>
          </cell>
          <cell r="AI134">
            <v>44312</v>
          </cell>
          <cell r="AJ134">
            <v>45153</v>
          </cell>
          <cell r="AM134" t="str">
            <v>ຊ່ວຍວຽກ</v>
          </cell>
          <cell r="AN134" t="str">
            <v>ມ 7</v>
          </cell>
          <cell r="AP134" t="str">
            <v>ຊຕ</v>
          </cell>
          <cell r="AQ134" t="str">
            <v>ພາຍໃນ</v>
          </cell>
          <cell r="AR134" t="str">
            <v>ທົ່ວໄປ</v>
          </cell>
          <cell r="AS134" t="str">
            <v>ກໍ່ສ້າງ</v>
          </cell>
          <cell r="AT134" t="str">
            <v>ໂຮງຮຽນ ປກສ ຊັ້ນຕົ້ນເລກ2 ແຂວງໄຊຍະບູລີ</v>
          </cell>
          <cell r="AU134" t="str">
            <v>01 ປີ</v>
          </cell>
          <cell r="AV134" t="str">
            <v>2024 - 2025</v>
          </cell>
          <cell r="BJ134" t="str">
            <v>ກອງແກ້ວ ແກ້ວວັນນາ</v>
          </cell>
          <cell r="BK134">
            <v>40</v>
          </cell>
          <cell r="BL134" t="str">
            <v>ໂພນງາມນາຟ້າຍ</v>
          </cell>
          <cell r="BM134" t="str">
            <v>ທຸລະຄົມ</v>
          </cell>
          <cell r="BN134" t="str">
            <v>ວຽງວັນ</v>
          </cell>
          <cell r="BO134" t="str">
            <v>ກໍາມະກອນ</v>
          </cell>
          <cell r="BQ134" t="str">
            <v>ພອນ</v>
          </cell>
          <cell r="BR134" t="str">
            <v>ຕ</v>
          </cell>
          <cell r="CF134">
            <v>52345294</v>
          </cell>
          <cell r="CH134" t="str">
            <v>ປກສ</v>
          </cell>
          <cell r="CI134">
            <v>45729</v>
          </cell>
          <cell r="CJ134" t="str">
            <v>619/ຫກ</v>
          </cell>
        </row>
        <row r="135">
          <cell r="G135" t="str">
            <v>ນ. ນໍ້າສົ້ມ ເພັດປັນຍາ</v>
          </cell>
          <cell r="H135" t="str">
            <v>ສທ</v>
          </cell>
          <cell r="J135" t="str">
            <v>ຍິງ</v>
          </cell>
          <cell r="K135">
            <v>38666</v>
          </cell>
          <cell r="L135" t="str">
            <v>19 ປີ</v>
          </cell>
          <cell r="M135">
            <v>45691</v>
          </cell>
          <cell r="O135" t="str">
            <v>ນາຊູ</v>
          </cell>
          <cell r="P135" t="str">
            <v>ກາລີ</v>
          </cell>
          <cell r="Q135" t="str">
            <v>ວຽງຈັນ</v>
          </cell>
          <cell r="R135" t="str">
            <v>ໂນນຄໍ້</v>
          </cell>
          <cell r="S135" t="str">
            <v>ໄຊເສດຖາ</v>
          </cell>
          <cell r="T135" t="str">
            <v>ນະຄອນຫຼວງ</v>
          </cell>
          <cell r="X135" t="str">
            <v>10-0175396</v>
          </cell>
          <cell r="Y135" t="str">
            <v>ລລ</v>
          </cell>
          <cell r="Z135" t="str">
            <v>ພຸດ</v>
          </cell>
          <cell r="AB135">
            <v>44440</v>
          </cell>
          <cell r="AC135">
            <v>44440</v>
          </cell>
          <cell r="AI135">
            <v>42797</v>
          </cell>
          <cell r="AJ135">
            <v>45016</v>
          </cell>
          <cell r="AM135" t="str">
            <v>ຊ່ວຍວຽກ</v>
          </cell>
          <cell r="AN135" t="str">
            <v>ມ 7</v>
          </cell>
          <cell r="AP135" t="str">
            <v>ຊຕ</v>
          </cell>
          <cell r="AQ135" t="str">
            <v>ພາຍໃນ</v>
          </cell>
          <cell r="AR135" t="str">
            <v>ປ້ອງກັນທີ່ຕັ້ງ</v>
          </cell>
          <cell r="AS135" t="str">
            <v>ກໍ່ສ້າງ</v>
          </cell>
          <cell r="AT135" t="str">
            <v>ສູນຝຶກວິຊາສະເພາະປ້ອງກັນທີ່ຕັ້ງ</v>
          </cell>
          <cell r="AU135" t="str">
            <v>01 ປີ</v>
          </cell>
          <cell r="AV135" t="str">
            <v>2024 - 2025</v>
          </cell>
          <cell r="BJ135" t="str">
            <v>ພອນໄຊ</v>
          </cell>
          <cell r="BK135">
            <v>45</v>
          </cell>
          <cell r="BL135" t="str">
            <v>ນາຊູ</v>
          </cell>
          <cell r="BM135" t="str">
            <v>ກາສີ</v>
          </cell>
          <cell r="BN135" t="str">
            <v>ວຽງຈັນ</v>
          </cell>
          <cell r="BO135" t="str">
            <v>ຄ້າຂາຍ</v>
          </cell>
          <cell r="BQ135" t="str">
            <v>ສົມໝາຍ</v>
          </cell>
          <cell r="BR135">
            <v>43</v>
          </cell>
          <cell r="BS135" t="str">
            <v>ນາຊູ</v>
          </cell>
          <cell r="BT135" t="str">
            <v>ກາສີ</v>
          </cell>
          <cell r="BU135" t="str">
            <v>ວຽງຈັນ</v>
          </cell>
          <cell r="BV135" t="str">
            <v>ຄ້າຂາຍ</v>
          </cell>
          <cell r="CF135">
            <v>58442261</v>
          </cell>
          <cell r="CH135" t="str">
            <v>ປກສ</v>
          </cell>
          <cell r="CI135">
            <v>45729</v>
          </cell>
          <cell r="CJ135" t="str">
            <v>619/ຫກ</v>
          </cell>
        </row>
        <row r="136">
          <cell r="G136" t="str">
            <v>ທ. ເກດອໍາພອນ ຈັນທະວົງ</v>
          </cell>
          <cell r="H136" t="str">
            <v>ສທ</v>
          </cell>
          <cell r="J136" t="str">
            <v>ຊາຍ</v>
          </cell>
          <cell r="K136">
            <v>35069</v>
          </cell>
          <cell r="L136" t="str">
            <v>29 ປີ</v>
          </cell>
          <cell r="M136">
            <v>45678</v>
          </cell>
          <cell r="O136" t="str">
            <v>ປັດຊຸມ</v>
          </cell>
          <cell r="P136" t="str">
            <v>ປາກຊັນ</v>
          </cell>
          <cell r="Q136" t="str">
            <v>ບໍລິຄໍາໄຊ</v>
          </cell>
          <cell r="R136" t="str">
            <v>ໂນນຄໍ້ເໜືອ</v>
          </cell>
          <cell r="S136" t="str">
            <v>ໄຊເສດຖາ</v>
          </cell>
          <cell r="T136" t="str">
            <v>ນະຄອນຫຼວງ</v>
          </cell>
          <cell r="Y136" t="str">
            <v>ລລ</v>
          </cell>
          <cell r="Z136" t="str">
            <v>ພຸດ</v>
          </cell>
          <cell r="AB136">
            <v>45285</v>
          </cell>
          <cell r="AC136">
            <v>45285</v>
          </cell>
          <cell r="AI136">
            <v>41403</v>
          </cell>
          <cell r="AK136">
            <v>43132</v>
          </cell>
          <cell r="AM136" t="str">
            <v>ຊ່ວຍວຽກ</v>
          </cell>
          <cell r="AN136" t="str">
            <v>ມ 7</v>
          </cell>
          <cell r="AP136" t="str">
            <v>ຊຕ</v>
          </cell>
          <cell r="AQ136" t="str">
            <v>ພາຍໃນ</v>
          </cell>
          <cell r="AR136" t="str">
            <v>ປ້ອງກັນເຄື່ອນທີ່</v>
          </cell>
          <cell r="AS136" t="str">
            <v>ກໍ່ສ້າງ</v>
          </cell>
          <cell r="AT136" t="str">
            <v>ສູນຝຶກອົບຮົມຕໍາຫຼວດນາຍສິບດົງຊຽງດີ</v>
          </cell>
          <cell r="AU136" t="str">
            <v>01 ປີ</v>
          </cell>
          <cell r="AV136" t="str">
            <v>2024 - 2025</v>
          </cell>
          <cell r="AW136" t="str">
            <v>ຊສ</v>
          </cell>
          <cell r="AY136" t="str">
            <v>ໄຟຟ້າ</v>
          </cell>
          <cell r="AZ136" t="str">
            <v>ກໍ່ສ້າງ</v>
          </cell>
          <cell r="BA136" t="str">
            <v>ເຕັກນິກສັບພະວິຊາ</v>
          </cell>
          <cell r="BB136" t="str">
            <v>03 ປີ</v>
          </cell>
          <cell r="BC136" t="str">
            <v>2018 - 2021</v>
          </cell>
          <cell r="BJ136" t="str">
            <v>ວັນ</v>
          </cell>
          <cell r="BK136" t="str">
            <v>ຕ</v>
          </cell>
          <cell r="BQ136" t="str">
            <v>ຈັນ</v>
          </cell>
          <cell r="BR136">
            <v>63</v>
          </cell>
          <cell r="BS136" t="str">
            <v>ປັດຊຸມ</v>
          </cell>
          <cell r="BT136" t="str">
            <v>ປາກຊັນ</v>
          </cell>
          <cell r="BU136" t="str">
            <v>ບໍລິຄໍາໄຊ</v>
          </cell>
          <cell r="BV136" t="str">
            <v>ເຮັດນາ</v>
          </cell>
          <cell r="CF136">
            <v>59081222</v>
          </cell>
          <cell r="CH136" t="str">
            <v>ປກສ</v>
          </cell>
          <cell r="CI136">
            <v>45729</v>
          </cell>
          <cell r="CJ136" t="str">
            <v>619/ຫກ</v>
          </cell>
        </row>
        <row r="137">
          <cell r="G137" t="str">
            <v>ທ. ທິບພະຈັນ ວົງສາວະດີ</v>
          </cell>
          <cell r="H137" t="str">
            <v>ສທ</v>
          </cell>
          <cell r="J137" t="str">
            <v>ຊາຍ</v>
          </cell>
          <cell r="K137">
            <v>35582</v>
          </cell>
          <cell r="L137" t="str">
            <v>27 ປີ</v>
          </cell>
          <cell r="M137">
            <v>45700</v>
          </cell>
          <cell r="O137" t="str">
            <v>ຄໍາແປງ</v>
          </cell>
          <cell r="P137" t="str">
            <v>ຊະນະສົມບູນ</v>
          </cell>
          <cell r="Q137" t="str">
            <v>ຈໍາປາສັກ</v>
          </cell>
          <cell r="R137" t="str">
            <v>ຄໍາແປງ</v>
          </cell>
          <cell r="S137" t="str">
            <v>ຊະນະສົມບູນ</v>
          </cell>
          <cell r="T137" t="str">
            <v>ຈໍາປາສັກ</v>
          </cell>
          <cell r="U137">
            <v>359</v>
          </cell>
          <cell r="Y137" t="str">
            <v>ລລ</v>
          </cell>
          <cell r="Z137" t="str">
            <v>ພຸດ</v>
          </cell>
          <cell r="AB137">
            <v>45285</v>
          </cell>
          <cell r="AC137">
            <v>45285</v>
          </cell>
          <cell r="AI137">
            <v>41955</v>
          </cell>
          <cell r="AK137">
            <v>44390</v>
          </cell>
          <cell r="AM137" t="str">
            <v>ຊ່ວຍວຽກ</v>
          </cell>
          <cell r="AN137" t="str">
            <v>ມ 7</v>
          </cell>
          <cell r="AP137" t="str">
            <v>ຊຕ</v>
          </cell>
          <cell r="AQ137" t="str">
            <v>ພາຍໃນ</v>
          </cell>
          <cell r="AR137" t="str">
            <v>ທົ່ວໄປ</v>
          </cell>
          <cell r="AS137" t="str">
            <v>ກໍ່ສ້າງ</v>
          </cell>
          <cell r="AT137" t="str">
            <v>ປກສ ຊັ້ນຕົ້ນເລກ6</v>
          </cell>
          <cell r="AU137" t="str">
            <v>01 ປີ</v>
          </cell>
          <cell r="AV137" t="str">
            <v>2024 - 2025</v>
          </cell>
          <cell r="AW137" t="str">
            <v>ປຕ</v>
          </cell>
          <cell r="AY137" t="str">
            <v>ສັດຕະວະແພດ</v>
          </cell>
          <cell r="AZ137" t="str">
            <v>ກໍ່ສ້າງ</v>
          </cell>
          <cell r="BA137" t="str">
            <v>ມະຫາວິທະຍາໄລ ຈໍາປາສັກ</v>
          </cell>
          <cell r="BB137" t="str">
            <v>02 ປີ</v>
          </cell>
          <cell r="BC137" t="str">
            <v>2021 - 2022</v>
          </cell>
          <cell r="BJ137" t="str">
            <v>ແອ</v>
          </cell>
          <cell r="BK137">
            <v>53</v>
          </cell>
          <cell r="BL137" t="str">
            <v>ຄໍາແປງ</v>
          </cell>
          <cell r="BM137" t="str">
            <v>ຊະນະສົມບູນ</v>
          </cell>
          <cell r="BN137" t="str">
            <v>ຈໍາປາສັກ</v>
          </cell>
          <cell r="BO137" t="str">
            <v>ຊາວນາ</v>
          </cell>
          <cell r="BQ137" t="str">
            <v>ບຸນປະສົງ</v>
          </cell>
          <cell r="BR137">
            <v>55</v>
          </cell>
          <cell r="BS137" t="str">
            <v>ຄໍາແປງ</v>
          </cell>
          <cell r="BT137" t="str">
            <v>ຊະນະສົມບູນ</v>
          </cell>
          <cell r="BU137" t="str">
            <v>ຈໍາປາສັກ</v>
          </cell>
          <cell r="BV137" t="str">
            <v>ຊາວນາ</v>
          </cell>
          <cell r="CF137">
            <v>96601605</v>
          </cell>
          <cell r="CH137" t="str">
            <v>ປກສ</v>
          </cell>
          <cell r="CI137">
            <v>45729</v>
          </cell>
          <cell r="CJ137" t="str">
            <v>619/ຫກ</v>
          </cell>
        </row>
        <row r="138">
          <cell r="G138" t="str">
            <v>ທ. ຈິດຕະການ ດ້ວງນວນໄຊ</v>
          </cell>
          <cell r="H138" t="str">
            <v>ສທ</v>
          </cell>
          <cell r="J138" t="str">
            <v>ຊາຍ</v>
          </cell>
          <cell r="K138">
            <v>36941</v>
          </cell>
          <cell r="L138" t="str">
            <v>24 ປີ</v>
          </cell>
          <cell r="M138">
            <v>45678</v>
          </cell>
          <cell r="O138" t="str">
            <v>ພູມມະເຈດີ</v>
          </cell>
          <cell r="P138" t="str">
            <v>ໄຊພູທອນ</v>
          </cell>
          <cell r="Q138" t="str">
            <v>ສະຫວັນນະເຂດ</v>
          </cell>
          <cell r="R138" t="str">
            <v>ໜອງໄຮ</v>
          </cell>
          <cell r="S138" t="str">
            <v>ຫາດຊາຍຟອງ</v>
          </cell>
          <cell r="T138" t="str">
            <v>ນະຄອນຫຼວງ</v>
          </cell>
          <cell r="Y138" t="str">
            <v>ລລ</v>
          </cell>
          <cell r="Z138" t="str">
            <v>ພຸດ</v>
          </cell>
          <cell r="AB138">
            <v>45285</v>
          </cell>
          <cell r="AC138">
            <v>45285</v>
          </cell>
          <cell r="AI138">
            <v>43174</v>
          </cell>
          <cell r="AM138" t="str">
            <v>ຊ່ວຍວຽກ</v>
          </cell>
          <cell r="AN138" t="str">
            <v>ມ 7</v>
          </cell>
          <cell r="AP138" t="str">
            <v>ຊຕ</v>
          </cell>
          <cell r="AQ138" t="str">
            <v>ພາຍໃນ</v>
          </cell>
          <cell r="AR138" t="str">
            <v>ປ້ອງກັນເຄື່ອນທີ່</v>
          </cell>
          <cell r="AS138" t="str">
            <v>ກໍ່ສ້າງ</v>
          </cell>
          <cell r="AT138" t="str">
            <v>ສູນຝຶກອົບຮົມຕໍາຫຼວດນາຍສິບດົງຊຽງດີ</v>
          </cell>
          <cell r="AU138" t="str">
            <v>01 ປີ</v>
          </cell>
          <cell r="AV138" t="str">
            <v>2024 - 2025</v>
          </cell>
          <cell r="AW138" t="str">
            <v>ຊສ</v>
          </cell>
          <cell r="AY138" t="str">
            <v>ລ້ຽງສັດ-ການປະມົງ</v>
          </cell>
          <cell r="AZ138" t="str">
            <v>ກໍ່ສ້າງ</v>
          </cell>
          <cell r="BA138" t="str">
            <v>ກະສິກໍາ-ປ່າໄມ້</v>
          </cell>
          <cell r="BB138" t="str">
            <v>03 ປີ</v>
          </cell>
          <cell r="BC138" t="str">
            <v>2018 - 2021</v>
          </cell>
          <cell r="BJ138" t="str">
            <v>ສີໂຫ</v>
          </cell>
          <cell r="BK138">
            <v>53</v>
          </cell>
          <cell r="BL138" t="str">
            <v>ພູມມະເຈດີ</v>
          </cell>
          <cell r="BM138" t="str">
            <v>ໄຊພູທອງ</v>
          </cell>
          <cell r="BN138" t="str">
            <v>ສະຫວັນນະເຂດ</v>
          </cell>
          <cell r="BO138" t="str">
            <v>ຊາວນາ</v>
          </cell>
          <cell r="BQ138" t="str">
            <v>ບົວໄຂ</v>
          </cell>
          <cell r="BR138">
            <v>46</v>
          </cell>
          <cell r="BS138" t="str">
            <v>ພູມມະເຈດີ</v>
          </cell>
          <cell r="BT138" t="str">
            <v>ໄຊພູທອງ</v>
          </cell>
          <cell r="BU138" t="str">
            <v>ສະຫວັນນະເຂດ</v>
          </cell>
          <cell r="BV138" t="str">
            <v>ຄ້າຂາຍ</v>
          </cell>
          <cell r="CF138">
            <v>76328734</v>
          </cell>
          <cell r="CH138" t="str">
            <v>ປກສ</v>
          </cell>
          <cell r="CI138">
            <v>45729</v>
          </cell>
          <cell r="CJ138" t="str">
            <v>619/ຫກ</v>
          </cell>
        </row>
        <row r="139">
          <cell r="G139" t="str">
            <v>ທ. ໂຕ່ແນັດ ບົວສີ</v>
          </cell>
          <cell r="H139" t="str">
            <v>ສທ</v>
          </cell>
          <cell r="J139" t="str">
            <v>ຊາຍ</v>
          </cell>
          <cell r="K139">
            <v>36916</v>
          </cell>
          <cell r="L139" t="str">
            <v>24 ປີ</v>
          </cell>
          <cell r="M139">
            <v>45336</v>
          </cell>
          <cell r="O139" t="str">
            <v>ນາມອນ</v>
          </cell>
          <cell r="P139" t="str">
            <v>ໄຊຍະບູລີ</v>
          </cell>
          <cell r="Q139" t="str">
            <v>ໄຊຍະບູລີ</v>
          </cell>
          <cell r="R139" t="str">
            <v>ໂນນສະຫວ່າງ</v>
          </cell>
          <cell r="S139" t="str">
            <v>ໄຊເສດຖາ</v>
          </cell>
          <cell r="T139" t="str">
            <v>ນະຄອນຫຼວງ</v>
          </cell>
          <cell r="X139" t="str">
            <v>ບໍ່ມີ</v>
          </cell>
          <cell r="Y139" t="str">
            <v>ລລ</v>
          </cell>
          <cell r="Z139" t="str">
            <v>ພຸດ</v>
          </cell>
          <cell r="AA139" t="str">
            <v>ບໍ່ມີ</v>
          </cell>
          <cell r="AB139">
            <v>44620</v>
          </cell>
          <cell r="AC139">
            <v>44620</v>
          </cell>
          <cell r="AI139">
            <v>42807</v>
          </cell>
          <cell r="AM139" t="str">
            <v>ປ້ອງກັນ</v>
          </cell>
          <cell r="AN139" t="str">
            <v>ມ 7</v>
          </cell>
          <cell r="AP139" t="str">
            <v>ຊຕ</v>
          </cell>
          <cell r="AQ139" t="str">
            <v>ພາຍໃນ</v>
          </cell>
          <cell r="AR139" t="str">
            <v>ທົ່ວໄປ</v>
          </cell>
          <cell r="AS139" t="str">
            <v>ກໍ່ສ້າງ</v>
          </cell>
          <cell r="AT139" t="str">
            <v>ສູນຝຶກອົບຮົມວິຊາສະເພາະຄົບວົງຈອນ</v>
          </cell>
          <cell r="AU139" t="str">
            <v>1 ປີ</v>
          </cell>
          <cell r="AV139" t="str">
            <v>2022 - 2023</v>
          </cell>
          <cell r="BJ139" t="str">
            <v>ທອງພັນ ບົວສີ</v>
          </cell>
          <cell r="BK139">
            <v>49</v>
          </cell>
          <cell r="BL139" t="str">
            <v>ນາມອນ</v>
          </cell>
          <cell r="BM139" t="str">
            <v>ໄຊຍະບູລີ</v>
          </cell>
          <cell r="BN139" t="str">
            <v>ໄຊຍະບູລີ</v>
          </cell>
          <cell r="BO139" t="str">
            <v>ປະຊາຊົນ</v>
          </cell>
          <cell r="BQ139" t="str">
            <v>ແອດ ກັນຫາວັນທອງ</v>
          </cell>
          <cell r="BR139">
            <v>47</v>
          </cell>
          <cell r="BS139" t="str">
            <v>ນາມອນ</v>
          </cell>
          <cell r="BT139" t="str">
            <v>ໄຊຍະບູລີ</v>
          </cell>
          <cell r="BU139" t="str">
            <v>ໄຊຍະບູລີ</v>
          </cell>
          <cell r="BV139" t="str">
            <v>ຄູ</v>
          </cell>
          <cell r="CF139">
            <v>55777076</v>
          </cell>
          <cell r="CH139" t="str">
            <v>ປກສ</v>
          </cell>
        </row>
        <row r="140">
          <cell r="G140" t="str">
            <v>ທ. ວຽງນະຄອນ ດາລາວອນ</v>
          </cell>
          <cell r="H140" t="str">
            <v>ສທ</v>
          </cell>
          <cell r="J140" t="str">
            <v>ຊາຍ</v>
          </cell>
          <cell r="K140">
            <v>34808</v>
          </cell>
          <cell r="L140" t="str">
            <v>30 ປີ</v>
          </cell>
          <cell r="M140">
            <v>45700</v>
          </cell>
          <cell r="O140" t="str">
            <v>ເກີນກາງ</v>
          </cell>
          <cell r="P140" t="str">
            <v>ທຸລະຄົມ</v>
          </cell>
          <cell r="Q140" t="str">
            <v>ວຽງຈັນ</v>
          </cell>
          <cell r="R140" t="str">
            <v>ຊຽງດາ</v>
          </cell>
          <cell r="S140" t="str">
            <v>ໄຊເສດຖາ</v>
          </cell>
          <cell r="T140" t="str">
            <v>ນະຄອນຫຼວງ</v>
          </cell>
          <cell r="W140">
            <v>17</v>
          </cell>
          <cell r="Y140" t="str">
            <v>ລລ</v>
          </cell>
          <cell r="Z140" t="str">
            <v>ພຸດ</v>
          </cell>
          <cell r="AA140" t="str">
            <v>ບໍ່ມີ</v>
          </cell>
          <cell r="AB140">
            <v>45285</v>
          </cell>
          <cell r="AC140">
            <v>45285</v>
          </cell>
          <cell r="AI140">
            <v>39957</v>
          </cell>
          <cell r="AK140">
            <v>42268</v>
          </cell>
          <cell r="AM140" t="str">
            <v>ຊ່ວຍວຽກ</v>
          </cell>
          <cell r="AN140" t="str">
            <v>ມ 7</v>
          </cell>
          <cell r="AP140" t="str">
            <v>ຊຕ</v>
          </cell>
          <cell r="AQ140" t="str">
            <v>ພາຍໃນ</v>
          </cell>
          <cell r="AR140" t="str">
            <v>ສື່ສານ</v>
          </cell>
          <cell r="AS140" t="str">
            <v>ກໍ່ສ້າງ</v>
          </cell>
          <cell r="AT140" t="str">
            <v>ສູນຝຶກອົບຮົມວິຊາສະເພາະຄົບວົງຈອນ</v>
          </cell>
          <cell r="AU140" t="str">
            <v>01 ປີ</v>
          </cell>
          <cell r="AV140" t="str">
            <v>2024 - 2025</v>
          </cell>
          <cell r="AW140" t="str">
            <v>ປຕ</v>
          </cell>
          <cell r="AY140" t="str">
            <v>ການເງິນ-ການທະນາຄານ</v>
          </cell>
          <cell r="AZ140" t="str">
            <v>ກໍ່ສ້າງ</v>
          </cell>
          <cell r="BA140" t="str">
            <v>ສະຖາບັນທະນາຄານ</v>
          </cell>
          <cell r="BB140" t="str">
            <v>04 ປີ</v>
          </cell>
          <cell r="BC140" t="str">
            <v>2012 - 2016</v>
          </cell>
          <cell r="BJ140" t="str">
            <v>ກົງເພັດ ດາລາວອນ</v>
          </cell>
          <cell r="BK140">
            <v>57</v>
          </cell>
          <cell r="BL140" t="str">
            <v>ຊຽງດາ</v>
          </cell>
          <cell r="BM140" t="str">
            <v>ໄຊເສດຖາ</v>
          </cell>
          <cell r="BN140" t="str">
            <v>ນະຄອນຫຼວງ</v>
          </cell>
          <cell r="BO140" t="str">
            <v>ພະນັກງານ</v>
          </cell>
          <cell r="BQ140" t="str">
            <v>ວຽງສະຫວັນ ວົງໄຊ</v>
          </cell>
          <cell r="BR140">
            <v>54</v>
          </cell>
          <cell r="BS140" t="str">
            <v>ຊຽງດາ</v>
          </cell>
          <cell r="BT140" t="str">
            <v>ໄຊເສດຖາ</v>
          </cell>
          <cell r="BU140" t="str">
            <v>ນະຄອນຫຼວງ</v>
          </cell>
          <cell r="BV140" t="str">
            <v>ແມ່ເຮືອນ</v>
          </cell>
          <cell r="CF140">
            <v>99320915</v>
          </cell>
          <cell r="CH140" t="str">
            <v>ປກສ</v>
          </cell>
          <cell r="CI140">
            <v>45729</v>
          </cell>
          <cell r="CJ140" t="str">
            <v>619/ຫກ</v>
          </cell>
        </row>
        <row r="141">
          <cell r="G141" t="str">
            <v>ທ. ວິສັນ ແກ້ວວິໄລພອນ</v>
          </cell>
          <cell r="H141" t="str">
            <v>ສທ</v>
          </cell>
          <cell r="I141" t="str">
            <v>ຫຼ້າ</v>
          </cell>
          <cell r="J141" t="str">
            <v>ຊາຍ</v>
          </cell>
          <cell r="K141">
            <v>37717</v>
          </cell>
          <cell r="L141" t="str">
            <v>22 ປີ</v>
          </cell>
          <cell r="M141">
            <v>45698</v>
          </cell>
          <cell r="O141" t="str">
            <v>ສີສະອາດໃຕ້</v>
          </cell>
          <cell r="P141" t="str">
            <v>ແມດ</v>
          </cell>
          <cell r="Q141" t="str">
            <v>ວຽງຈັນ</v>
          </cell>
          <cell r="R141" t="str">
            <v>ປາກມີ້</v>
          </cell>
          <cell r="S141" t="str">
            <v>ຊະນະຄາມ</v>
          </cell>
          <cell r="T141" t="str">
            <v>ວຽງຈັນ</v>
          </cell>
          <cell r="U141">
            <v>373</v>
          </cell>
          <cell r="X141" t="str">
            <v>10-0199756</v>
          </cell>
          <cell r="Y141" t="str">
            <v>ລລ</v>
          </cell>
          <cell r="Z141" t="str">
            <v>ພຸດ</v>
          </cell>
          <cell r="AB141">
            <v>45285</v>
          </cell>
          <cell r="AC141">
            <v>45285</v>
          </cell>
          <cell r="AI141">
            <v>43186</v>
          </cell>
          <cell r="AM141" t="str">
            <v>ປ້ອງກັນ</v>
          </cell>
          <cell r="AN141" t="str">
            <v>ມ 7</v>
          </cell>
          <cell r="AP141" t="str">
            <v>ຊຕ</v>
          </cell>
          <cell r="AQ141" t="str">
            <v>ພາຍໃນ</v>
          </cell>
          <cell r="AR141" t="str">
            <v>ທົ່ວໄປ</v>
          </cell>
          <cell r="AS141" t="str">
            <v>ກໍ່ສ້າງ</v>
          </cell>
          <cell r="AT141" t="str">
            <v>ໂຮງຮຽນ ປກສ ຊັ້ນຕົ້ນເລກ2</v>
          </cell>
          <cell r="AU141" t="str">
            <v>01 ປີ</v>
          </cell>
          <cell r="AV141" t="str">
            <v>2024 - 2025</v>
          </cell>
          <cell r="BJ141" t="str">
            <v>ສົມ</v>
          </cell>
          <cell r="BK141">
            <v>60</v>
          </cell>
          <cell r="BL141" t="str">
            <v>ສີສະອາດໃຕ້</v>
          </cell>
          <cell r="BM141" t="str">
            <v>ແມດ</v>
          </cell>
          <cell r="BN141" t="str">
            <v>ວຽງຈັນ</v>
          </cell>
          <cell r="BO141" t="str">
            <v>ປະຊາຊົນ</v>
          </cell>
          <cell r="BQ141" t="str">
            <v>ດວງຄໍາ</v>
          </cell>
          <cell r="BR141">
            <v>55</v>
          </cell>
          <cell r="BS141" t="str">
            <v>ສີສະອາດໃຕ້</v>
          </cell>
          <cell r="BT141" t="str">
            <v>ແມດ</v>
          </cell>
          <cell r="BU141" t="str">
            <v>ວຽງຈັນ</v>
          </cell>
          <cell r="BV141" t="str">
            <v>ປະຊາຊົນ</v>
          </cell>
          <cell r="CF141">
            <v>78778803</v>
          </cell>
          <cell r="CH141" t="str">
            <v>ປກສ</v>
          </cell>
          <cell r="CI141">
            <v>45729</v>
          </cell>
          <cell r="CJ141" t="str">
            <v>619/ຫກ</v>
          </cell>
        </row>
        <row r="142">
          <cell r="G142" t="str">
            <v>ທ. ຄໍາເພັດ ຈັນທະພູມີ</v>
          </cell>
          <cell r="H142" t="str">
            <v>ສທ</v>
          </cell>
          <cell r="J142" t="str">
            <v>ຊາຍ</v>
          </cell>
          <cell r="K142">
            <v>38519</v>
          </cell>
          <cell r="L142" t="str">
            <v>19 ປີ</v>
          </cell>
          <cell r="M142">
            <v>45700</v>
          </cell>
          <cell r="O142" t="str">
            <v>ງິ້ວ</v>
          </cell>
          <cell r="P142" t="str">
            <v>ຊະນະສົມບູນ</v>
          </cell>
          <cell r="Q142" t="str">
            <v>ຈໍາປາສັກ</v>
          </cell>
          <cell r="R142" t="str">
            <v>ດົງລານຄໍາ</v>
          </cell>
          <cell r="S142" t="str">
            <v>ຊະນະສົມບູນ</v>
          </cell>
          <cell r="T142" t="str">
            <v>ຈໍາປາສັກ</v>
          </cell>
          <cell r="U142">
            <v>2</v>
          </cell>
          <cell r="V142">
            <v>13</v>
          </cell>
          <cell r="X142" t="str">
            <v>16-23000579</v>
          </cell>
          <cell r="Y142" t="str">
            <v>ລລ</v>
          </cell>
          <cell r="Z142" t="str">
            <v>ພຸດ</v>
          </cell>
          <cell r="AA142" t="str">
            <v>ບໍ່ມີ</v>
          </cell>
          <cell r="AB142">
            <v>45285</v>
          </cell>
          <cell r="AC142">
            <v>45285</v>
          </cell>
          <cell r="AI142">
            <v>43601</v>
          </cell>
          <cell r="AM142" t="str">
            <v>ປ້ອງກັນ</v>
          </cell>
          <cell r="AN142" t="str">
            <v>ມ 7</v>
          </cell>
          <cell r="AP142" t="str">
            <v>ຊຕ</v>
          </cell>
          <cell r="AQ142" t="str">
            <v>ພາຍໃນ</v>
          </cell>
          <cell r="AR142" t="str">
            <v>ສື່ສານ</v>
          </cell>
          <cell r="AS142" t="str">
            <v>ກໍ່ສ້າງ</v>
          </cell>
          <cell r="AT142" t="str">
            <v>ສູນຝຶກອົບຮົມວິຊາສະເພາະຄົບວົງຈອນ</v>
          </cell>
          <cell r="AU142" t="str">
            <v>01 ປີ</v>
          </cell>
          <cell r="AV142" t="str">
            <v>2024 - 2025</v>
          </cell>
          <cell r="BJ142" t="str">
            <v>ສີອຸ໋ຍ</v>
          </cell>
          <cell r="BK142">
            <v>52</v>
          </cell>
          <cell r="BL142" t="str">
            <v>ດົງລານຄໍາ</v>
          </cell>
          <cell r="BM142" t="str">
            <v>ຊະນະສົມບູນ</v>
          </cell>
          <cell r="BN142" t="str">
            <v>ຈໍາປາສັກ</v>
          </cell>
          <cell r="BO142" t="str">
            <v>ຕໍາຫຼວດ</v>
          </cell>
          <cell r="BQ142" t="str">
            <v>ພູຊຽງຊ່ຽງ</v>
          </cell>
          <cell r="BR142">
            <v>50</v>
          </cell>
          <cell r="BS142" t="str">
            <v>ດົງລານຄໍາ</v>
          </cell>
          <cell r="BT142" t="str">
            <v>ຊະນະສົມບູນ</v>
          </cell>
          <cell r="BU142" t="str">
            <v>ຈໍາປາສັກ</v>
          </cell>
          <cell r="BV142" t="str">
            <v>ຊາວນາ</v>
          </cell>
          <cell r="CF142">
            <v>91169692</v>
          </cell>
          <cell r="CH142" t="str">
            <v>ປກສ</v>
          </cell>
          <cell r="CI142">
            <v>45729</v>
          </cell>
          <cell r="CJ142" t="str">
            <v>619/ຫກ</v>
          </cell>
        </row>
        <row r="143">
          <cell r="G143" t="str">
            <v>ທ. ສົມຊາຍ ສີດາລາ</v>
          </cell>
          <cell r="H143" t="str">
            <v>ສທ</v>
          </cell>
          <cell r="J143" t="str">
            <v>ຊາຍ</v>
          </cell>
          <cell r="K143">
            <v>38356</v>
          </cell>
          <cell r="L143" t="str">
            <v>20 ປີ</v>
          </cell>
          <cell r="M143">
            <v>45700</v>
          </cell>
          <cell r="O143" t="str">
            <v>ສະໄກ</v>
          </cell>
          <cell r="P143" t="str">
            <v>ສັງທອງ</v>
          </cell>
          <cell r="Q143" t="str">
            <v>ນະຄອນຫຼວງ</v>
          </cell>
          <cell r="R143" t="str">
            <v>ສະໄກ</v>
          </cell>
          <cell r="S143" t="str">
            <v>ສັງທອງ</v>
          </cell>
          <cell r="T143" t="str">
            <v>ນະຄອນຫຼວງ</v>
          </cell>
          <cell r="X143" t="str">
            <v>01-23005152</v>
          </cell>
          <cell r="Y143" t="str">
            <v>ລລ</v>
          </cell>
          <cell r="Z143" t="str">
            <v>ພຸດ</v>
          </cell>
          <cell r="AB143">
            <v>44550</v>
          </cell>
          <cell r="AC143">
            <v>44550</v>
          </cell>
          <cell r="AI143">
            <v>44033</v>
          </cell>
          <cell r="AM143" t="str">
            <v>ປ້ອງກັນ</v>
          </cell>
          <cell r="AN143" t="str">
            <v>ມ 7</v>
          </cell>
          <cell r="AP143" t="str">
            <v>ຊຕ</v>
          </cell>
          <cell r="AQ143" t="str">
            <v>ພາຍໃນ</v>
          </cell>
          <cell r="AR143" t="str">
            <v>ຈະລາຈອນ</v>
          </cell>
          <cell r="AS143" t="str">
            <v>ກໍ່ສ້າງ</v>
          </cell>
          <cell r="AT143" t="str">
            <v>ໂຮງຮຽນ ປກສ ຊັ້ນຕົ້ນ ກົມໃຫຍ່ຕໍາຫຼວດ</v>
          </cell>
          <cell r="AU143" t="str">
            <v>01 ປີ</v>
          </cell>
          <cell r="AV143" t="str">
            <v>2024 - 2025</v>
          </cell>
          <cell r="BJ143" t="str">
            <v>ລິນທອງ ສີດາລາ</v>
          </cell>
          <cell r="BK143">
            <v>63</v>
          </cell>
          <cell r="BL143" t="str">
            <v>ສະໄກ</v>
          </cell>
          <cell r="BM143" t="str">
            <v>ສັງທອງ</v>
          </cell>
          <cell r="BN143" t="str">
            <v>ນະຄອນຫຼວງ</v>
          </cell>
          <cell r="BO143" t="str">
            <v>ປະຊາຊົນ</v>
          </cell>
          <cell r="BQ143" t="str">
            <v>ບົວເຄືອ ສີດາລາ</v>
          </cell>
          <cell r="BR143">
            <v>54</v>
          </cell>
          <cell r="BS143" t="str">
            <v>ສະໄກ</v>
          </cell>
          <cell r="BT143" t="str">
            <v>ສັງທອງ</v>
          </cell>
          <cell r="BU143" t="str">
            <v>ນະຄອນຫຼວງ</v>
          </cell>
          <cell r="BV143" t="str">
            <v>ປະຊາຊົນ</v>
          </cell>
          <cell r="CF143">
            <v>78247940</v>
          </cell>
          <cell r="CH143" t="str">
            <v>ປກສ</v>
          </cell>
          <cell r="CI143">
            <v>45729</v>
          </cell>
          <cell r="CJ143" t="str">
            <v>619/ຫກ</v>
          </cell>
        </row>
        <row r="144">
          <cell r="G144" t="str">
            <v>ທ. ພຸດທະສອນ ທອນໄພສີ</v>
          </cell>
          <cell r="H144" t="str">
            <v>ສທ</v>
          </cell>
          <cell r="J144" t="str">
            <v>ຊາຍ</v>
          </cell>
          <cell r="K144">
            <v>38798</v>
          </cell>
          <cell r="L144" t="str">
            <v>19 ປີ</v>
          </cell>
          <cell r="M144">
            <v>45694</v>
          </cell>
          <cell r="O144" t="str">
            <v>ໂພນຕ້ອງ</v>
          </cell>
          <cell r="P144" t="str">
            <v>ຈັນທະບູລີ</v>
          </cell>
          <cell r="Q144" t="str">
            <v>ນະຄອນຫຼວງ</v>
          </cell>
          <cell r="R144" t="str">
            <v>ດົງດໍາດວນ</v>
          </cell>
          <cell r="S144" t="str">
            <v>ນະຄອນໄກສອນ</v>
          </cell>
          <cell r="T144" t="str">
            <v>ສະຫວັນນະເຂດ</v>
          </cell>
          <cell r="Y144" t="str">
            <v>ລລ</v>
          </cell>
          <cell r="Z144" t="str">
            <v>ພຸດ</v>
          </cell>
          <cell r="AB144">
            <v>44438</v>
          </cell>
          <cell r="AC144">
            <v>44438</v>
          </cell>
          <cell r="AI144">
            <v>43575</v>
          </cell>
          <cell r="AM144" t="str">
            <v>ປ້ອງກັນ</v>
          </cell>
          <cell r="AN144" t="str">
            <v>ມ 7</v>
          </cell>
          <cell r="AP144" t="str">
            <v>ຊຕ</v>
          </cell>
          <cell r="AQ144" t="str">
            <v>ພາຍໃນ</v>
          </cell>
          <cell r="AR144" t="str">
            <v>ສື່ສານ</v>
          </cell>
          <cell r="AS144" t="str">
            <v>ກໍ່ສ້າງ</v>
          </cell>
          <cell r="AT144" t="str">
            <v>ສູນຮັບຕ້ອນ ແລະ ຝຶກອົບຮົມວິຊາສະເພາະ</v>
          </cell>
          <cell r="AU144" t="str">
            <v>01 ປີ</v>
          </cell>
          <cell r="AV144" t="str">
            <v>2024 - 2025</v>
          </cell>
          <cell r="BJ144" t="str">
            <v>ບຸນເກີດ</v>
          </cell>
          <cell r="BK144">
            <v>51</v>
          </cell>
          <cell r="BL144" t="str">
            <v>ດົງດໍາດວນ</v>
          </cell>
          <cell r="BM144" t="str">
            <v>ນະຄອນໄກສອນ</v>
          </cell>
          <cell r="BN144" t="str">
            <v>ສະຫວັນນະເຂດ</v>
          </cell>
          <cell r="BO144" t="str">
            <v>ພະນັກງານ</v>
          </cell>
          <cell r="BQ144" t="str">
            <v>ແສງຈັນ ຄອນປະເສີດ</v>
          </cell>
          <cell r="BR144">
            <v>52</v>
          </cell>
          <cell r="BS144" t="str">
            <v>ດົງດໍາດວນ</v>
          </cell>
          <cell r="BT144" t="str">
            <v>ນະຄອນໄກສອນ</v>
          </cell>
          <cell r="BU144" t="str">
            <v>ສະຫວັນນະເຂດ</v>
          </cell>
          <cell r="BV144" t="str">
            <v>ພະນັກງານ</v>
          </cell>
          <cell r="CF144">
            <v>55769528</v>
          </cell>
          <cell r="CH144" t="str">
            <v>ປກສ</v>
          </cell>
          <cell r="CI144">
            <v>45729</v>
          </cell>
          <cell r="CJ144" t="str">
            <v>619/ຫກ</v>
          </cell>
        </row>
        <row r="145">
          <cell r="G145" t="str">
            <v>ທ. ພູແຊມ ສີຫາລາດ</v>
          </cell>
          <cell r="H145" t="str">
            <v>ສທ</v>
          </cell>
          <cell r="I145" t="str">
            <v>ແຊມ</v>
          </cell>
          <cell r="J145" t="str">
            <v>ຊາຍ</v>
          </cell>
          <cell r="K145">
            <v>38594</v>
          </cell>
          <cell r="L145" t="str">
            <v>19 ປີ</v>
          </cell>
          <cell r="M145">
            <v>45699</v>
          </cell>
          <cell r="O145" t="str">
            <v>ນໍ້າກ້ຽງ</v>
          </cell>
          <cell r="P145" t="str">
            <v>ນາຊາຍທອງ</v>
          </cell>
          <cell r="Q145" t="str">
            <v>ນະຄອນຫຼວງ</v>
          </cell>
          <cell r="R145" t="str">
            <v>ນໍ້າກ້ຽງ</v>
          </cell>
          <cell r="S145" t="str">
            <v>ນາຊາຍທອງ</v>
          </cell>
          <cell r="T145" t="str">
            <v>ນະຄອນຫຼວງ</v>
          </cell>
          <cell r="Y145" t="str">
            <v>ລລ</v>
          </cell>
          <cell r="Z145" t="str">
            <v>ພຸດ</v>
          </cell>
          <cell r="AB145">
            <v>45285</v>
          </cell>
          <cell r="AC145">
            <v>45285</v>
          </cell>
          <cell r="AI145">
            <v>43782</v>
          </cell>
          <cell r="AM145" t="str">
            <v>ປ້ອງກັນ</v>
          </cell>
          <cell r="AN145" t="str">
            <v>ມ 7</v>
          </cell>
          <cell r="AP145" t="str">
            <v>ຊຕ</v>
          </cell>
          <cell r="AQ145" t="str">
            <v>ພາຍໃນ</v>
          </cell>
          <cell r="AR145" t="str">
            <v>ຄຸມຂັງ-ດັດສ້າງ</v>
          </cell>
          <cell r="AS145" t="str">
            <v>ກໍ່ສ້າງ</v>
          </cell>
          <cell r="AT145" t="str">
            <v>ໂຮງຮຽນ ປກສ ຊັ້ນຕົ້ນເລກ4</v>
          </cell>
          <cell r="AU145" t="str">
            <v>01 ປີ</v>
          </cell>
          <cell r="AV145" t="str">
            <v>2024 - 2025</v>
          </cell>
          <cell r="BJ145" t="str">
            <v>ພູຄໍາ ສີຫາລາດ</v>
          </cell>
          <cell r="BK145">
            <v>41</v>
          </cell>
          <cell r="BL145" t="str">
            <v>ນໍ້າກ້ຽງ</v>
          </cell>
          <cell r="BM145" t="str">
            <v>ນາຊາຍທອງ</v>
          </cell>
          <cell r="BN145" t="str">
            <v>ນະຄອນຫຼວງ</v>
          </cell>
          <cell r="BO145" t="str">
            <v>ກໍາມະກອນ</v>
          </cell>
          <cell r="BQ145" t="str">
            <v>ຖາວອນ</v>
          </cell>
          <cell r="BR145">
            <v>42</v>
          </cell>
          <cell r="BS145" t="str">
            <v>ນໍ້າກ້ຽງ</v>
          </cell>
          <cell r="BT145" t="str">
            <v>ນາຊາຍທອງ</v>
          </cell>
          <cell r="BU145" t="str">
            <v>ນະຄອນຫຼວງ</v>
          </cell>
          <cell r="BV145" t="str">
            <v>ປະຊາຊົນ</v>
          </cell>
          <cell r="CF145">
            <v>59402195</v>
          </cell>
          <cell r="CH145" t="str">
            <v>ປກສ</v>
          </cell>
          <cell r="CI145">
            <v>45729</v>
          </cell>
          <cell r="CJ145" t="str">
            <v>619/ຫກ</v>
          </cell>
        </row>
        <row r="146">
          <cell r="G146" t="str">
            <v>ນ. ຈັນສະໝອນ ພາວົງສາ</v>
          </cell>
          <cell r="H146" t="str">
            <v>ສທ</v>
          </cell>
          <cell r="I146" t="str">
            <v>ຫຼ້ານ້ອຍ</v>
          </cell>
          <cell r="J146" t="str">
            <v>ຍິງ</v>
          </cell>
          <cell r="K146">
            <v>38600</v>
          </cell>
          <cell r="L146" t="str">
            <v>19 ປີ</v>
          </cell>
          <cell r="M146">
            <v>45692</v>
          </cell>
          <cell r="O146" t="str">
            <v>ດູ່ຊາງ</v>
          </cell>
          <cell r="P146" t="str">
            <v>ແປກ</v>
          </cell>
          <cell r="Q146" t="str">
            <v>ຊຽງຂວາງ</v>
          </cell>
          <cell r="R146" t="str">
            <v>ສາຍລົມ</v>
          </cell>
          <cell r="S146" t="str">
            <v>ແປກ</v>
          </cell>
          <cell r="T146" t="str">
            <v>ຊຽງຂວາງ</v>
          </cell>
          <cell r="U146">
            <v>423</v>
          </cell>
          <cell r="Y146" t="str">
            <v>ລລ</v>
          </cell>
          <cell r="Z146" t="str">
            <v>ພຸດ</v>
          </cell>
          <cell r="AB146">
            <v>45285</v>
          </cell>
          <cell r="AC146">
            <v>45285</v>
          </cell>
          <cell r="AI146">
            <v>44281</v>
          </cell>
          <cell r="AJ146">
            <v>44281</v>
          </cell>
          <cell r="AM146" t="str">
            <v>ຊ່ວຍວຽກ</v>
          </cell>
          <cell r="AN146" t="str">
            <v>ມ 7</v>
          </cell>
          <cell r="AP146" t="str">
            <v>ຊຕ</v>
          </cell>
          <cell r="AQ146" t="str">
            <v>ພາຍໃນ</v>
          </cell>
          <cell r="AR146" t="str">
            <v>ສື່ສານ</v>
          </cell>
          <cell r="AS146" t="str">
            <v>ກໍ່ສ້າງ</v>
          </cell>
          <cell r="AT146" t="str">
            <v>ສູນຮັບຕ້ອນ ແລະ ຝຶກອົບຮົມວິຊາສະເພາະ</v>
          </cell>
          <cell r="AU146" t="str">
            <v>01 ປີ</v>
          </cell>
          <cell r="AV146" t="str">
            <v>2024 - 2025</v>
          </cell>
          <cell r="BJ146" t="str">
            <v>ຄໍາພຸດ</v>
          </cell>
          <cell r="BK146">
            <v>52</v>
          </cell>
          <cell r="BL146" t="str">
            <v>ສາຍລົມ</v>
          </cell>
          <cell r="BM146" t="str">
            <v>ແປກ</v>
          </cell>
          <cell r="BN146" t="str">
            <v>ຊຽງຂວາງ</v>
          </cell>
          <cell r="BO146" t="str">
            <v>ທະຫານ</v>
          </cell>
          <cell r="BP146" t="str">
            <v>ກອງພັນໃຫຍ່ 643</v>
          </cell>
          <cell r="BQ146" t="str">
            <v>ທອງ</v>
          </cell>
          <cell r="BR146">
            <v>49</v>
          </cell>
          <cell r="BS146" t="str">
            <v>ສາຍລົມ</v>
          </cell>
          <cell r="BT146" t="str">
            <v>ແປກ</v>
          </cell>
          <cell r="BU146" t="str">
            <v>ຊຽງຂວາງ</v>
          </cell>
          <cell r="BV146" t="str">
            <v>ປະຊາຊົນ</v>
          </cell>
          <cell r="CF146">
            <v>96473343</v>
          </cell>
          <cell r="CH146" t="str">
            <v>ປກສ</v>
          </cell>
          <cell r="CI146">
            <v>45729</v>
          </cell>
          <cell r="CJ146" t="str">
            <v>619/ຫກ</v>
          </cell>
        </row>
        <row r="147">
          <cell r="G147" t="str">
            <v>ນ. ພອນທິບ ລາວມາ</v>
          </cell>
          <cell r="H147" t="str">
            <v>ສທ</v>
          </cell>
          <cell r="I147" t="str">
            <v>ລູເມີ້ຍ</v>
          </cell>
          <cell r="J147" t="str">
            <v>ຍິງ</v>
          </cell>
          <cell r="K147">
            <v>39014</v>
          </cell>
          <cell r="L147" t="str">
            <v>18 ປີ</v>
          </cell>
          <cell r="M147">
            <v>45692</v>
          </cell>
          <cell r="O147" t="str">
            <v>ເຊັງກາງໃໝ່</v>
          </cell>
          <cell r="P147" t="str">
            <v>ບຸນໃຕ້</v>
          </cell>
          <cell r="Q147" t="str">
            <v>ຜົ້ງສາລີ</v>
          </cell>
          <cell r="R147" t="str">
            <v>ໜອງໜ່ຽງ</v>
          </cell>
          <cell r="S147" t="str">
            <v>ໄຊເສດຖາ</v>
          </cell>
          <cell r="T147" t="str">
            <v>ນະຄອນຫຼວງ</v>
          </cell>
          <cell r="Y147" t="str">
            <v>ໂອມາ</v>
          </cell>
          <cell r="Z147" t="str">
            <v>ຜີ</v>
          </cell>
          <cell r="AB147">
            <v>44555</v>
          </cell>
          <cell r="AC147">
            <v>44555</v>
          </cell>
          <cell r="AI147">
            <v>45013</v>
          </cell>
          <cell r="AJ147">
            <v>45142</v>
          </cell>
          <cell r="AM147" t="str">
            <v>ຊ່ວຍວຽກ</v>
          </cell>
          <cell r="AN147" t="str">
            <v>ມ 7</v>
          </cell>
          <cell r="AP147" t="str">
            <v>ຊຕ</v>
          </cell>
          <cell r="AQ147" t="str">
            <v>ພາຍໃນ</v>
          </cell>
          <cell r="AR147" t="str">
            <v>ສື່ສານ</v>
          </cell>
          <cell r="AS147" t="str">
            <v>ກໍ່ສ້າງ</v>
          </cell>
          <cell r="AT147" t="str">
            <v>ສູນຮັບຕ້ອນ ແລະ ຝຶກອົບຮົມວິຊາສະເພາະ</v>
          </cell>
          <cell r="AU147" t="str">
            <v>01 ປີ</v>
          </cell>
          <cell r="AV147" t="str">
            <v>2024 - 2025</v>
          </cell>
          <cell r="BJ147" t="str">
            <v>ອາພູ ລາວມາ</v>
          </cell>
          <cell r="BK147">
            <v>41</v>
          </cell>
          <cell r="BL147" t="str">
            <v>ໜອງໜ່ຽງ</v>
          </cell>
          <cell r="BM147" t="str">
            <v>ໄຊເສດຖາ</v>
          </cell>
          <cell r="BN147" t="str">
            <v>ນະຄອນຫຼວງ</v>
          </cell>
          <cell r="BO147" t="str">
            <v>ປະຊາຊົນ</v>
          </cell>
          <cell r="BQ147" t="str">
            <v>ອາບູ້</v>
          </cell>
          <cell r="BR147">
            <v>39</v>
          </cell>
          <cell r="BS147" t="str">
            <v>ໜອງໜ່ຽງ</v>
          </cell>
          <cell r="BT147" t="str">
            <v>ໄຊເສດຖາ</v>
          </cell>
          <cell r="BU147" t="str">
            <v>ນະຄອນຫຼວງ</v>
          </cell>
          <cell r="BV147" t="str">
            <v>ແມ່ເຮືອນ</v>
          </cell>
          <cell r="CF147">
            <v>93387337</v>
          </cell>
          <cell r="CH147" t="str">
            <v>ປກສ</v>
          </cell>
          <cell r="CI147">
            <v>45729</v>
          </cell>
          <cell r="CJ147" t="str">
            <v>619/ຫກ</v>
          </cell>
        </row>
        <row r="148">
          <cell r="G148" t="str">
            <v>ນ. ນັນທະໄຊ ພະໄຊສົມບັດ</v>
          </cell>
          <cell r="H148" t="str">
            <v>ສທ</v>
          </cell>
          <cell r="J148" t="str">
            <v>ຍິງ</v>
          </cell>
          <cell r="K148">
            <v>38460</v>
          </cell>
          <cell r="L148" t="str">
            <v>20 ປີ</v>
          </cell>
          <cell r="M148">
            <v>45700</v>
          </cell>
          <cell r="O148" t="str">
            <v>ທ່າດ່ານ</v>
          </cell>
          <cell r="P148" t="str">
            <v>ໄຊພູທອງ</v>
          </cell>
          <cell r="Q148" t="str">
            <v>ສະຫວັນນະເຂດ</v>
          </cell>
          <cell r="R148" t="str">
            <v>ທ່າດ່ານ</v>
          </cell>
          <cell r="S148" t="str">
            <v>ໄຊພູທອງ</v>
          </cell>
          <cell r="T148" t="str">
            <v>ສະຫວັນນະເຂດ</v>
          </cell>
          <cell r="Y148" t="str">
            <v>ລລ</v>
          </cell>
          <cell r="Z148" t="str">
            <v>ພຸດ</v>
          </cell>
          <cell r="AB148">
            <v>44438</v>
          </cell>
          <cell r="AC148">
            <v>44438</v>
          </cell>
          <cell r="AI148">
            <v>43972</v>
          </cell>
          <cell r="AJ148">
            <v>43941</v>
          </cell>
          <cell r="AM148" t="str">
            <v>ຊ່ວຍວຽກ</v>
          </cell>
          <cell r="AN148" t="str">
            <v>ມ 7</v>
          </cell>
          <cell r="AP148" t="str">
            <v>ຊຕ</v>
          </cell>
          <cell r="AQ148" t="str">
            <v>ພາຍໃນ</v>
          </cell>
          <cell r="AR148" t="str">
            <v>ຈະລາຈອນ</v>
          </cell>
          <cell r="AS148" t="str">
            <v>ກໍ່ສ້າງ</v>
          </cell>
          <cell r="AT148" t="str">
            <v>ໂຮງຮຽນ ປກສ ຊັ້ນຕົ້ນ ກົມໃຫຍ່ຕໍາຫຼວດ</v>
          </cell>
          <cell r="AU148" t="str">
            <v>01 ປີ</v>
          </cell>
          <cell r="AV148" t="str">
            <v>2024 - 2025</v>
          </cell>
          <cell r="BJ148" t="str">
            <v>ເຫຼົາຄໍາ</v>
          </cell>
          <cell r="BK148" t="str">
            <v>ຕ</v>
          </cell>
          <cell r="BQ148" t="str">
            <v>ທອງໃບ</v>
          </cell>
          <cell r="BR148">
            <v>59</v>
          </cell>
          <cell r="BS148" t="str">
            <v>ທ່າດ່ານ</v>
          </cell>
          <cell r="BT148" t="str">
            <v>ໄຊພູທອງ</v>
          </cell>
          <cell r="BU148" t="str">
            <v>ສະຫວັນນະເຂດ</v>
          </cell>
          <cell r="BV148" t="str">
            <v>ບໍານານ</v>
          </cell>
          <cell r="CF148">
            <v>92689724</v>
          </cell>
          <cell r="CH148" t="str">
            <v>ປກສ</v>
          </cell>
          <cell r="CI148">
            <v>45729</v>
          </cell>
          <cell r="CJ148" t="str">
            <v>619/ຫກ</v>
          </cell>
        </row>
        <row r="149">
          <cell r="G149" t="str">
            <v>ນ. ຄອນສະຫວັນ ແກ້ວອຸ່ນເຮືອງ</v>
          </cell>
          <cell r="H149" t="str">
            <v>ສທ</v>
          </cell>
          <cell r="J149" t="str">
            <v>ຍິງ</v>
          </cell>
          <cell r="K149">
            <v>38579</v>
          </cell>
          <cell r="L149" t="str">
            <v>19 ປີ</v>
          </cell>
          <cell r="M149">
            <v>45692</v>
          </cell>
          <cell r="O149" t="str">
            <v>ນາເຕີຍ</v>
          </cell>
          <cell r="P149" t="str">
            <v>ຫຼວງນໍ້າທາ</v>
          </cell>
          <cell r="Q149" t="str">
            <v>ຫຼວງນໍ້າທາ</v>
          </cell>
          <cell r="R149" t="str">
            <v>ໂພນສະຫວັນ</v>
          </cell>
          <cell r="S149" t="str">
            <v>ນາຊາຍທອງ</v>
          </cell>
          <cell r="T149" t="str">
            <v>ນະຄອນຫຼວງ</v>
          </cell>
          <cell r="Y149" t="str">
            <v>ຜູ້ນ້ອຍ</v>
          </cell>
          <cell r="Z149" t="str">
            <v>ພຸດ</v>
          </cell>
          <cell r="AB149">
            <v>44803</v>
          </cell>
          <cell r="AC149">
            <v>44803</v>
          </cell>
          <cell r="AI149">
            <v>44250</v>
          </cell>
          <cell r="AJ149">
            <v>44674</v>
          </cell>
          <cell r="AM149" t="str">
            <v>ຊ່ວຍວຽກ</v>
          </cell>
          <cell r="AN149" t="str">
            <v>ມ 7</v>
          </cell>
          <cell r="AP149" t="str">
            <v>ຊຕ</v>
          </cell>
          <cell r="AQ149" t="str">
            <v>ພາຍໃນ</v>
          </cell>
          <cell r="AR149" t="str">
            <v>ສື່ສານ</v>
          </cell>
          <cell r="AS149" t="str">
            <v>ກໍ່ສ້າງ</v>
          </cell>
          <cell r="AT149" t="str">
            <v>ສູນຮັບຕ້ອນ ແລະ ຝຶກອົບຮົມວິຊາສະເພາະ</v>
          </cell>
          <cell r="AU149" t="str">
            <v>01 ປີ</v>
          </cell>
          <cell r="AV149" t="str">
            <v>2024 - 2025</v>
          </cell>
          <cell r="BQ149" t="str">
            <v>ນ້ອຍ</v>
          </cell>
          <cell r="BR149">
            <v>40</v>
          </cell>
          <cell r="BS149" t="str">
            <v>ໂພນສະຫວັນ</v>
          </cell>
          <cell r="BT149" t="str">
            <v>ນາຊາຍທອງ</v>
          </cell>
          <cell r="BU149" t="str">
            <v>ນະຄອນຫຼວງ</v>
          </cell>
          <cell r="BV149" t="str">
            <v>ຄ້າຂາຍ</v>
          </cell>
          <cell r="CF149">
            <v>56082886</v>
          </cell>
          <cell r="CH149" t="str">
            <v>ປກສ</v>
          </cell>
          <cell r="CI149">
            <v>45729</v>
          </cell>
          <cell r="CJ149" t="str">
            <v>619/ຫກ</v>
          </cell>
        </row>
        <row r="150">
          <cell r="G150" t="str">
            <v>ນ. ຕຸ່ນຄໍາ ເພັດວິໄລ</v>
          </cell>
          <cell r="H150" t="str">
            <v>ສທ</v>
          </cell>
          <cell r="I150" t="str">
            <v>ຕຸ່ນ</v>
          </cell>
          <cell r="J150" t="str">
            <v>ຍິງ</v>
          </cell>
          <cell r="K150">
            <v>38137</v>
          </cell>
          <cell r="L150" t="str">
            <v>20 ປີ</v>
          </cell>
          <cell r="M150">
            <v>45691</v>
          </cell>
          <cell r="O150" t="str">
            <v>ນາທອງ</v>
          </cell>
          <cell r="P150" t="str">
            <v>ຊໍາເໜືອ</v>
          </cell>
          <cell r="Q150" t="str">
            <v>ຫົວພັນ</v>
          </cell>
          <cell r="R150" t="str">
            <v>ຫ້ວຍເຕີຍ</v>
          </cell>
          <cell r="S150" t="str">
            <v>ໄຊທານີ</v>
          </cell>
          <cell r="T150" t="str">
            <v>ນະຄອນຫຼວງ</v>
          </cell>
          <cell r="U150">
            <v>134</v>
          </cell>
          <cell r="W150">
            <v>8</v>
          </cell>
          <cell r="Y150" t="str">
            <v>ລາວ</v>
          </cell>
          <cell r="Z150" t="str">
            <v>ຜີ</v>
          </cell>
          <cell r="AB150">
            <v>45285</v>
          </cell>
          <cell r="AC150">
            <v>45285</v>
          </cell>
          <cell r="AI150">
            <v>44184</v>
          </cell>
          <cell r="AJ150">
            <v>44969</v>
          </cell>
          <cell r="AM150" t="str">
            <v>ຊ່ວຍວຽກ</v>
          </cell>
          <cell r="AN150" t="str">
            <v>ມ 7</v>
          </cell>
          <cell r="AP150" t="str">
            <v>ຊຕ</v>
          </cell>
          <cell r="AQ150" t="str">
            <v>ພາຍໃນ</v>
          </cell>
          <cell r="AR150" t="str">
            <v>ປ້ອງກັນທີ່ຕັ້ງ</v>
          </cell>
          <cell r="AS150" t="str">
            <v>ກໍ່ສ້າງ</v>
          </cell>
          <cell r="AT150" t="str">
            <v>ສູນຝຶກວິຊາສະເພາະປ້ອງກັນທີ່ຕັ້ງ</v>
          </cell>
          <cell r="AU150" t="str">
            <v>01 ປີ</v>
          </cell>
          <cell r="AV150" t="str">
            <v>2024 - 2025</v>
          </cell>
          <cell r="BJ150" t="str">
            <v>ໄພສີ</v>
          </cell>
          <cell r="BK150">
            <v>54</v>
          </cell>
          <cell r="BL150" t="str">
            <v>ຫ້ວຍເຕີຍ</v>
          </cell>
          <cell r="BM150" t="str">
            <v>ໄຊທານີ</v>
          </cell>
          <cell r="BN150" t="str">
            <v>ນະຄອນຫຼວງ</v>
          </cell>
          <cell r="BO150" t="str">
            <v>ຕໍາຫຼວດ</v>
          </cell>
          <cell r="BP150" t="str">
            <v>ກອງບັນຊາການປ້ອງກັນທີ່ຕັ້ງ</v>
          </cell>
          <cell r="BQ150" t="str">
            <v>ແອງ</v>
          </cell>
          <cell r="BR150">
            <v>37</v>
          </cell>
          <cell r="BS150" t="str">
            <v>ຫ້ວຍເຕີຍ</v>
          </cell>
          <cell r="BT150" t="str">
            <v>ໄຊທານີ</v>
          </cell>
          <cell r="BU150" t="str">
            <v>ນະຄອນຫຼວງ</v>
          </cell>
          <cell r="BV150" t="str">
            <v>ແມ່ເຮືອນ</v>
          </cell>
          <cell r="CF150">
            <v>92322806</v>
          </cell>
          <cell r="CH150" t="str">
            <v>ປກສ</v>
          </cell>
          <cell r="CI150">
            <v>45729</v>
          </cell>
          <cell r="CJ150" t="str">
            <v>619/ຫກ</v>
          </cell>
        </row>
        <row r="151">
          <cell r="G151" t="str">
            <v>ທ. ຄຳນ້ອຍ ຈັນທະເສນ</v>
          </cell>
          <cell r="H151" t="str">
            <v>ສທ</v>
          </cell>
          <cell r="J151" t="str">
            <v>ຊາຍ</v>
          </cell>
          <cell r="K151">
            <v>34905</v>
          </cell>
          <cell r="L151" t="str">
            <v>29 ປີ</v>
          </cell>
          <cell r="M151">
            <v>45336</v>
          </cell>
          <cell r="O151" t="str">
            <v>ແບ່ງອຸດົມ</v>
          </cell>
          <cell r="P151" t="str">
            <v>ສາລະວັນ</v>
          </cell>
          <cell r="Q151" t="str">
            <v>ສາລະວັນ</v>
          </cell>
          <cell r="R151" t="str">
            <v>ໂນນສະຫງ່າ</v>
          </cell>
          <cell r="S151" t="str">
            <v>ໄຊເສດຖາ</v>
          </cell>
          <cell r="T151" t="str">
            <v>ນະຄອນຫຼວງ</v>
          </cell>
          <cell r="X151" t="str">
            <v>ບໍ່ມີ</v>
          </cell>
          <cell r="Y151" t="str">
            <v>ລລ</v>
          </cell>
          <cell r="Z151" t="str">
            <v>ພຸດ</v>
          </cell>
          <cell r="AA151" t="str">
            <v>ບໍ່ມີ</v>
          </cell>
          <cell r="AB151">
            <v>44923</v>
          </cell>
          <cell r="AC151">
            <v>44923</v>
          </cell>
          <cell r="AI151">
            <v>40139</v>
          </cell>
          <cell r="AM151" t="str">
            <v>ຂັບລົດ</v>
          </cell>
          <cell r="AN151" t="str">
            <v>ມ 7</v>
          </cell>
          <cell r="AP151" t="str">
            <v>ຊຕ</v>
          </cell>
          <cell r="AQ151" t="str">
            <v>ພາຍໃນ</v>
          </cell>
          <cell r="AR151" t="str">
            <v>ທົ່ວໄປ</v>
          </cell>
          <cell r="AS151" t="str">
            <v>ກໍ່ສ້າງ</v>
          </cell>
          <cell r="AT151" t="str">
            <v>ສູນຝຶກອົບຮົມວິຊາສະເພາະຄົບວົງຈອນ</v>
          </cell>
          <cell r="AU151" t="str">
            <v>1 ປີ</v>
          </cell>
          <cell r="AV151" t="str">
            <v>2022 - 2023</v>
          </cell>
          <cell r="BJ151" t="str">
            <v>ພູເງິນ ແກ້ວພະຈັກ</v>
          </cell>
          <cell r="BK151">
            <v>60</v>
          </cell>
          <cell r="BL151" t="str">
            <v>ແບ່ງອຸດົມ</v>
          </cell>
          <cell r="BM151" t="str">
            <v>ສາລະວັນ</v>
          </cell>
          <cell r="BN151" t="str">
            <v>ສາລະວັນ</v>
          </cell>
          <cell r="BO151" t="str">
            <v>ຄ້າຂາຍ</v>
          </cell>
          <cell r="BQ151" t="str">
            <v>ສຸວັນນີ ຈັນທະເສນ</v>
          </cell>
          <cell r="BR151">
            <v>62</v>
          </cell>
          <cell r="BS151" t="str">
            <v>ແບ່ງອຸດົມ</v>
          </cell>
          <cell r="BT151" t="str">
            <v>ສາລະວັນ</v>
          </cell>
          <cell r="BU151" t="str">
            <v>ສາລະວັນ</v>
          </cell>
          <cell r="BV151" t="str">
            <v>ຄ້າຂາຍ</v>
          </cell>
          <cell r="CF151">
            <v>97776274</v>
          </cell>
          <cell r="CH151" t="str">
            <v>ປກສ</v>
          </cell>
          <cell r="CI151">
            <v>45344</v>
          </cell>
          <cell r="CJ151" t="str">
            <v>782/ກມປສ</v>
          </cell>
        </row>
        <row r="152">
          <cell r="G152" t="str">
            <v>ທ. ສຸກສະຫວັນ ສີສຸລາດ</v>
          </cell>
          <cell r="H152" t="str">
            <v>ສທ</v>
          </cell>
          <cell r="I152" t="str">
            <v>ຫວັນ</v>
          </cell>
          <cell r="J152" t="str">
            <v>ຊາຍ</v>
          </cell>
          <cell r="K152">
            <v>36152</v>
          </cell>
          <cell r="L152" t="str">
            <v>26 ປີ</v>
          </cell>
          <cell r="M152">
            <v>45336</v>
          </cell>
          <cell r="O152" t="str">
            <v>ຫ້ວຍໝື່ນ</v>
          </cell>
          <cell r="P152" t="str">
            <v>ທ່າປາງທອງ</v>
          </cell>
          <cell r="Q152" t="str">
            <v>ສະຫວັນນາເຂດ</v>
          </cell>
          <cell r="R152" t="str">
            <v>ໂນນສະຫງ່າ</v>
          </cell>
          <cell r="S152" t="str">
            <v>ໄຊເສດຖາ</v>
          </cell>
          <cell r="T152" t="str">
            <v>ນະຄອນຫຼວງ</v>
          </cell>
          <cell r="X152" t="str">
            <v>13-0355337</v>
          </cell>
          <cell r="Y152" t="str">
            <v>ລລ</v>
          </cell>
          <cell r="Z152" t="str">
            <v>ພຸດ</v>
          </cell>
          <cell r="AA152" t="str">
            <v>ບໍ່ມີ</v>
          </cell>
          <cell r="AB152">
            <v>44923</v>
          </cell>
          <cell r="AC152">
            <v>44923</v>
          </cell>
          <cell r="AI152">
            <v>41346</v>
          </cell>
          <cell r="AM152" t="str">
            <v>ຂັບລົດ</v>
          </cell>
          <cell r="AN152" t="str">
            <v>ມ 7</v>
          </cell>
          <cell r="AP152" t="str">
            <v>ຊຕ</v>
          </cell>
          <cell r="AQ152" t="str">
            <v>ພາຍໃນ</v>
          </cell>
          <cell r="AR152" t="str">
            <v>ທົ່ວໄປ</v>
          </cell>
          <cell r="AS152" t="str">
            <v>ກໍ່ສ້າງ</v>
          </cell>
          <cell r="AT152" t="str">
            <v>ສູນຮັບຕ້ອນ</v>
          </cell>
          <cell r="AU152" t="str">
            <v>1 ປີ</v>
          </cell>
          <cell r="AV152" t="str">
            <v>2022 - 2023</v>
          </cell>
          <cell r="BJ152" t="str">
            <v>ຄໍາເບີຍ ດວງຜາວັນ</v>
          </cell>
          <cell r="BK152">
            <v>57</v>
          </cell>
          <cell r="BL152" t="str">
            <v>ຫ້ວຍໝື່ນ</v>
          </cell>
          <cell r="BM152" t="str">
            <v>ທ່າປາງທອງ</v>
          </cell>
          <cell r="BN152" t="str">
            <v>ສະຫວັນນະເຂດ</v>
          </cell>
          <cell r="BO152" t="str">
            <v>ພະນັກງານ</v>
          </cell>
          <cell r="BP152" t="str">
            <v>ຫ້ອງການສຶກສາເມືອງ</v>
          </cell>
          <cell r="BQ152" t="str">
            <v>ຄໍາມາລຸນ ສີສຸລາດ</v>
          </cell>
          <cell r="BR152">
            <v>56</v>
          </cell>
          <cell r="BS152" t="str">
            <v>ຫ້ວຍໝື່ນ</v>
          </cell>
          <cell r="BT152" t="str">
            <v>ທ່າປາງທອງ</v>
          </cell>
          <cell r="BU152" t="str">
            <v>ສະຫວັນນະເຂດ</v>
          </cell>
          <cell r="BV152" t="str">
            <v>ພະນັກງານ</v>
          </cell>
          <cell r="BW152" t="str">
            <v>ມໍຕົ້ນຫ້ວຍໝື່ນ</v>
          </cell>
          <cell r="CF152">
            <v>99822693</v>
          </cell>
          <cell r="CH152" t="str">
            <v>ປກສ</v>
          </cell>
        </row>
        <row r="153">
          <cell r="G153" t="str">
            <v>ທ. ທິນນະກອນ ພະບາດໄຊ</v>
          </cell>
          <cell r="H153" t="str">
            <v>ສທ</v>
          </cell>
          <cell r="I153" t="str">
            <v>ລຸດ</v>
          </cell>
          <cell r="J153" t="str">
            <v>ຊາຍ</v>
          </cell>
          <cell r="K153">
            <v>35803</v>
          </cell>
          <cell r="L153" t="str">
            <v>27 ປີ</v>
          </cell>
          <cell r="M153">
            <v>45328</v>
          </cell>
          <cell r="O153" t="str">
            <v>ອານຸສອນໄຊ</v>
          </cell>
          <cell r="P153" t="str">
            <v>ປາກຊັນ</v>
          </cell>
          <cell r="Q153" t="str">
            <v>ບໍລິຄໍາໄຊ</v>
          </cell>
          <cell r="R153" t="str">
            <v>ແສງສະຫວ່າງ</v>
          </cell>
          <cell r="S153" t="str">
            <v>ໄຊເສດຖາ</v>
          </cell>
          <cell r="T153" t="str">
            <v>ນະຄອນຫຼວງ</v>
          </cell>
          <cell r="X153" t="str">
            <v>11-0091756</v>
          </cell>
          <cell r="Y153" t="str">
            <v>ລລ</v>
          </cell>
          <cell r="Z153" t="str">
            <v>ພຸດ</v>
          </cell>
          <cell r="AA153" t="str">
            <v>ບໍ່ມີ</v>
          </cell>
          <cell r="AB153">
            <v>44923</v>
          </cell>
          <cell r="AC153">
            <v>44923</v>
          </cell>
          <cell r="AI153">
            <v>41717</v>
          </cell>
          <cell r="AM153" t="str">
            <v>ຂັບລົດ</v>
          </cell>
          <cell r="AN153" t="str">
            <v>ມ 7</v>
          </cell>
          <cell r="AP153" t="str">
            <v>ຊຕ</v>
          </cell>
          <cell r="AQ153" t="str">
            <v>ພາຍໃນ</v>
          </cell>
          <cell r="AR153" t="str">
            <v>ປ້ອງກັນເຄື່ອນທີ່</v>
          </cell>
          <cell r="AS153" t="str">
            <v>ກໍ່ສ້າງ</v>
          </cell>
          <cell r="AT153" t="str">
            <v>ສູນຝຶກອົບຮົມວິຊາສະເພາະຄົບວົງຈອນ</v>
          </cell>
          <cell r="AU153" t="str">
            <v>1 ປີ</v>
          </cell>
          <cell r="AV153" t="str">
            <v>2023 - 2024</v>
          </cell>
          <cell r="BJ153" t="str">
            <v>ອານົງ ພະບາດໄຊ</v>
          </cell>
          <cell r="BK153">
            <v>62</v>
          </cell>
          <cell r="BL153" t="str">
            <v>ອານຸສອນໄຊ</v>
          </cell>
          <cell r="BM153" t="str">
            <v>ປາກຊັນ</v>
          </cell>
          <cell r="BN153" t="str">
            <v>ບໍລິຄໍາໄຊ</v>
          </cell>
          <cell r="BO153" t="str">
            <v>ພະນັກງານ ບໍານານ</v>
          </cell>
          <cell r="BQ153" t="str">
            <v>ພູວາ</v>
          </cell>
          <cell r="BR153">
            <v>53</v>
          </cell>
          <cell r="BS153" t="str">
            <v>ອານຸສອນໄຊ</v>
          </cell>
          <cell r="BT153" t="str">
            <v>ປາກຊັນ</v>
          </cell>
          <cell r="BU153" t="str">
            <v>ບໍລິຄໍາໄຊ</v>
          </cell>
          <cell r="BV153" t="str">
            <v>ພະນັກງານ</v>
          </cell>
          <cell r="BW153" t="str">
            <v>ປກສ ແຂວງ ບໍລິຄໍາໄຊ</v>
          </cell>
          <cell r="CF153">
            <v>97509342</v>
          </cell>
          <cell r="CH153" t="str">
            <v>ປກສ</v>
          </cell>
        </row>
        <row r="154">
          <cell r="G154" t="str">
            <v>ທ. ຂັນທະລີ ດວງບຸຜາພັນ</v>
          </cell>
          <cell r="H154" t="str">
            <v>ສທ</v>
          </cell>
          <cell r="I154" t="str">
            <v>ດີ້</v>
          </cell>
          <cell r="J154" t="str">
            <v>ຊາຍ</v>
          </cell>
          <cell r="K154">
            <v>37316</v>
          </cell>
          <cell r="L154" t="str">
            <v>23 ປີ</v>
          </cell>
          <cell r="M154">
            <v>45700</v>
          </cell>
          <cell r="O154" t="str">
            <v>ໂພສີ</v>
          </cell>
          <cell r="P154" t="str">
            <v>ສີໂຄດຕະບອງ</v>
          </cell>
          <cell r="Q154" t="str">
            <v>ນະຄອນຫຼວງ</v>
          </cell>
          <cell r="R154" t="str">
            <v>ໂພສີ</v>
          </cell>
          <cell r="S154" t="str">
            <v>ສີໂຄດຕະບອງ</v>
          </cell>
          <cell r="T154" t="str">
            <v>ນະຄອນຫຼວງ</v>
          </cell>
          <cell r="U154">
            <v>212</v>
          </cell>
          <cell r="X154">
            <v>123061047</v>
          </cell>
          <cell r="Y154" t="str">
            <v>ລລ</v>
          </cell>
          <cell r="Z154" t="str">
            <v>ພຸດ</v>
          </cell>
          <cell r="AB154">
            <v>45285</v>
          </cell>
          <cell r="AC154">
            <v>45285</v>
          </cell>
          <cell r="AI154">
            <v>42363</v>
          </cell>
          <cell r="AM154" t="str">
            <v>ຂັບລົດ</v>
          </cell>
          <cell r="AN154" t="str">
            <v>ມ 7</v>
          </cell>
          <cell r="AP154" t="str">
            <v>ຊຕ</v>
          </cell>
          <cell r="AQ154" t="str">
            <v>ພາຍໃນ</v>
          </cell>
          <cell r="AR154" t="str">
            <v>ທົ່ວໄປ</v>
          </cell>
          <cell r="AS154" t="str">
            <v>ກໍ່ສ້າງ</v>
          </cell>
          <cell r="AT154" t="str">
            <v>ໂຮງຮຽນ ປກສ ຊັ້ນຕົ້ນເລກ6</v>
          </cell>
          <cell r="AU154" t="str">
            <v>01 ປີ</v>
          </cell>
          <cell r="AV154" t="str">
            <v>2024 - 2025</v>
          </cell>
          <cell r="AW154" t="str">
            <v>ຊກ</v>
          </cell>
          <cell r="AY154" t="str">
            <v>ຈັນກົນໂຮງງານ</v>
          </cell>
          <cell r="AZ154" t="str">
            <v>ກໍ່ສ້າງ</v>
          </cell>
          <cell r="BA154" t="str">
            <v>ວິທະຍາໄລ ເຕັກນິກລາວ - ເຢຍລະມັນ</v>
          </cell>
          <cell r="BB154" t="str">
            <v>03 ປີ</v>
          </cell>
          <cell r="BC154" t="str">
            <v>2020 - 2023</v>
          </cell>
          <cell r="BJ154" t="str">
            <v>ຄໍາຜົງ ດວງບຸຜາພັນ</v>
          </cell>
          <cell r="BK154">
            <v>52</v>
          </cell>
          <cell r="BL154" t="str">
            <v>ໂພສີ</v>
          </cell>
          <cell r="BM154" t="str">
            <v>ສີໂຄດຕະບອງ</v>
          </cell>
          <cell r="BN154" t="str">
            <v>ນະຄອນຫຼວງ</v>
          </cell>
          <cell r="BO154" t="str">
            <v>ກໍາມະກອນ</v>
          </cell>
          <cell r="BQ154" t="str">
            <v>ສຸພີ ດວງບຸຜາພັນ</v>
          </cell>
          <cell r="BR154">
            <v>43</v>
          </cell>
          <cell r="BS154" t="str">
            <v>ໂພສີ</v>
          </cell>
          <cell r="BT154" t="str">
            <v>ສີໂຄດຕະບອງ</v>
          </cell>
          <cell r="BU154" t="str">
            <v>ນະຄອນຫຼວງ</v>
          </cell>
          <cell r="BV154" t="str">
            <v>ກໍາມະກອນ</v>
          </cell>
          <cell r="CF154">
            <v>92754635</v>
          </cell>
          <cell r="CH154" t="str">
            <v>ປກສ</v>
          </cell>
          <cell r="CI154">
            <v>45729</v>
          </cell>
          <cell r="CJ154" t="str">
            <v>619/ຫກ</v>
          </cell>
        </row>
        <row r="155">
          <cell r="G155" t="str">
            <v>ທ. ຄອນສະຫວັນ ຈັນທະມີໄຊ</v>
          </cell>
          <cell r="H155" t="str">
            <v>ສທ</v>
          </cell>
          <cell r="I155" t="str">
            <v>ຈອນນີ້</v>
          </cell>
          <cell r="J155" t="str">
            <v>ຊາຍ</v>
          </cell>
          <cell r="K155">
            <v>36793</v>
          </cell>
          <cell r="L155" t="str">
            <v>24 ປີ</v>
          </cell>
          <cell r="M155">
            <v>45698</v>
          </cell>
          <cell r="O155" t="str">
            <v>ສີເກີດ</v>
          </cell>
          <cell r="P155" t="str">
            <v>ນາຊາຍທອງ</v>
          </cell>
          <cell r="Q155" t="str">
            <v>ນະຄອນຫຼວງ</v>
          </cell>
          <cell r="R155" t="str">
            <v>ສີເກີດ</v>
          </cell>
          <cell r="S155" t="str">
            <v>ນາຊາຍທອງ</v>
          </cell>
          <cell r="T155" t="str">
            <v>ນະຄອນຫຼວງ</v>
          </cell>
          <cell r="Y155" t="str">
            <v>ລລ</v>
          </cell>
          <cell r="Z155" t="str">
            <v>ພຸດ</v>
          </cell>
          <cell r="AB155">
            <v>45285</v>
          </cell>
          <cell r="AC155">
            <v>45285</v>
          </cell>
          <cell r="AI155">
            <v>41936</v>
          </cell>
          <cell r="AM155" t="str">
            <v>ຂັບລົດ</v>
          </cell>
          <cell r="AN155" t="str">
            <v>ມ 7</v>
          </cell>
          <cell r="AP155" t="str">
            <v>ຊຕ</v>
          </cell>
          <cell r="AQ155" t="str">
            <v>ພາຍໃນ</v>
          </cell>
          <cell r="AR155" t="str">
            <v>ທົ່ວໄປ</v>
          </cell>
          <cell r="AS155" t="str">
            <v>ກໍ່ສ້າງ</v>
          </cell>
          <cell r="AT155" t="str">
            <v>ໂຮງຮຽນ ປກສ ຊັ້ນຕົ້ນ ແຂວງ ສາລະວັນ</v>
          </cell>
          <cell r="AU155" t="str">
            <v>01 ປີ</v>
          </cell>
          <cell r="AV155" t="str">
            <v>2024 - 2025</v>
          </cell>
          <cell r="AW155" t="str">
            <v>ຊສ</v>
          </cell>
          <cell r="AY155" t="str">
            <v>ຈັກກົນໂຮງງານ</v>
          </cell>
          <cell r="AZ155" t="str">
            <v>ຕໍ່ເນື່ອງ</v>
          </cell>
          <cell r="BA155" t="str">
            <v>ວິທະຍາໄລ ເຕັກນິກລາວ - ເຢຍລະມັນ</v>
          </cell>
          <cell r="BB155" t="str">
            <v>01 ປີ 06 ເດືອນ</v>
          </cell>
          <cell r="BC155" t="str">
            <v>2023 - 2024</v>
          </cell>
          <cell r="BJ155" t="str">
            <v>ວັນສົມ</v>
          </cell>
          <cell r="BK155">
            <v>53</v>
          </cell>
          <cell r="BL155" t="str">
            <v>ສີເກີດ</v>
          </cell>
          <cell r="BM155" t="str">
            <v>ນາຊາຍທອງ</v>
          </cell>
          <cell r="BN155" t="str">
            <v>ນະຄອນຫຼວງ</v>
          </cell>
          <cell r="BO155" t="str">
            <v>ຄ້າຂາຍ</v>
          </cell>
          <cell r="BQ155" t="str">
            <v>ສົມພາພອນ</v>
          </cell>
          <cell r="BR155">
            <v>53</v>
          </cell>
          <cell r="BS155" t="str">
            <v>ສີເກີດ</v>
          </cell>
          <cell r="BT155" t="str">
            <v>ນາຊາຍທອງ</v>
          </cell>
          <cell r="BU155" t="str">
            <v>ນະຄອນຫຼວງ</v>
          </cell>
          <cell r="BV155" t="str">
            <v>ຄ້າຂາຍ</v>
          </cell>
          <cell r="CF155">
            <v>98269020</v>
          </cell>
          <cell r="CH155" t="str">
            <v>ປກສ</v>
          </cell>
          <cell r="CI155">
            <v>45729</v>
          </cell>
          <cell r="CJ155" t="str">
            <v>619/ຫກ</v>
          </cell>
        </row>
        <row r="156">
          <cell r="G156" t="str">
            <v>ທ. ອຸ່ນຄໍາ ຍົມວົງຄໍາ</v>
          </cell>
          <cell r="H156" t="str">
            <v>ສທ</v>
          </cell>
          <cell r="J156" t="str">
            <v>ຊາຍ</v>
          </cell>
          <cell r="K156">
            <v>36662</v>
          </cell>
          <cell r="L156" t="str">
            <v>25 ປີ</v>
          </cell>
          <cell r="M156">
            <v>45678</v>
          </cell>
          <cell r="O156" t="str">
            <v>ນໍ້າຕຸຍ</v>
          </cell>
          <cell r="P156" t="str">
            <v>ແບງ</v>
          </cell>
          <cell r="Q156" t="str">
            <v>ອຸດົມໄຊ</v>
          </cell>
          <cell r="R156" t="str">
            <v>ໂພນຕ້ອງສະຫວາດ</v>
          </cell>
          <cell r="S156" t="str">
            <v>ຈັນທະບູລີ</v>
          </cell>
          <cell r="T156" t="str">
            <v>ນະຄອນຫຼວງ</v>
          </cell>
          <cell r="U156" t="str">
            <v>711</v>
          </cell>
          <cell r="W156" t="str">
            <v>27</v>
          </cell>
          <cell r="X156" t="str">
            <v>0-4-0055973</v>
          </cell>
          <cell r="Y156" t="str">
            <v>ກຶມມຸ</v>
          </cell>
          <cell r="Z156" t="str">
            <v>ຜີ</v>
          </cell>
          <cell r="AA156" t="str">
            <v>ບໍ່ມີ</v>
          </cell>
          <cell r="AB156">
            <v>45285</v>
          </cell>
          <cell r="AC156">
            <v>45285</v>
          </cell>
          <cell r="AI156">
            <v>42110</v>
          </cell>
          <cell r="AM156" t="str">
            <v>ຂັບລົດ</v>
          </cell>
          <cell r="AN156" t="str">
            <v>ມ 7</v>
          </cell>
          <cell r="AP156" t="str">
            <v>ຊຕ</v>
          </cell>
          <cell r="AQ156" t="str">
            <v>ພາຍໃນ</v>
          </cell>
          <cell r="AR156" t="str">
            <v>ປ້ອງກັນເຄື່ອນທີ່</v>
          </cell>
          <cell r="AS156" t="str">
            <v>ກໍ່ສ້າງ</v>
          </cell>
          <cell r="AT156" t="str">
            <v>ສູນຝຶກອົບຮົມຕໍາຫຼວດນາຍສິບດົງຊຽງດີ</v>
          </cell>
          <cell r="AU156" t="str">
            <v>01 ປີ</v>
          </cell>
          <cell r="AV156" t="str">
            <v>2024 - 2025</v>
          </cell>
          <cell r="AW156" t="str">
            <v>ຊຕ</v>
          </cell>
          <cell r="AY156" t="str">
            <v>ຂັບລົດ</v>
          </cell>
          <cell r="AZ156" t="str">
            <v>ກໍ່ສ້າງ</v>
          </cell>
          <cell r="BA156" t="str">
            <v>ໂຮງຮຽນສອນຂັບລົດເອກປັນຍາພາໂຊກ</v>
          </cell>
          <cell r="BB156" t="str">
            <v>03 ເດືອນ</v>
          </cell>
          <cell r="BC156">
            <v>2019</v>
          </cell>
          <cell r="BJ156" t="str">
            <v>ສົມພອນ</v>
          </cell>
          <cell r="BK156">
            <v>50</v>
          </cell>
          <cell r="BL156" t="str">
            <v>ນໍ້າຕຸຍ</v>
          </cell>
          <cell r="BM156" t="str">
            <v>ແບງ</v>
          </cell>
          <cell r="BN156" t="str">
            <v>ອຸດົມໄຊ</v>
          </cell>
          <cell r="BO156" t="str">
            <v>ປະຊາຊົນ</v>
          </cell>
          <cell r="BQ156" t="str">
            <v>ບົວແພງ</v>
          </cell>
          <cell r="BR156">
            <v>48</v>
          </cell>
          <cell r="BS156" t="str">
            <v>ນໍ້າຕຸຍ</v>
          </cell>
          <cell r="BT156" t="str">
            <v>ແບງ</v>
          </cell>
          <cell r="BU156" t="str">
            <v>ອຸດົມໄຊ</v>
          </cell>
          <cell r="BV156" t="str">
            <v>ປະຊາຊົນ</v>
          </cell>
          <cell r="CF156">
            <v>76789046</v>
          </cell>
          <cell r="CH156" t="str">
            <v>ປກສ</v>
          </cell>
          <cell r="CI156">
            <v>45729</v>
          </cell>
          <cell r="CJ156" t="str">
            <v>619/ຫກ</v>
          </cell>
        </row>
        <row r="157">
          <cell r="G157" t="str">
            <v>ທ. ຈັນທະໜອມ ນົນສີມາວົງ</v>
          </cell>
          <cell r="H157" t="str">
            <v>ສທ</v>
          </cell>
          <cell r="J157" t="str">
            <v>ຊາຍ</v>
          </cell>
          <cell r="K157">
            <v>38222</v>
          </cell>
          <cell r="L157" t="str">
            <v>20 ປີ</v>
          </cell>
          <cell r="M157">
            <v>45700</v>
          </cell>
          <cell r="O157" t="str">
            <v>ນາຫອຍ</v>
          </cell>
          <cell r="P157" t="str">
            <v>ແປກ</v>
          </cell>
          <cell r="Q157" t="str">
            <v>ຊຽງຂວາງ</v>
          </cell>
          <cell r="R157" t="str">
            <v>ໜອງພະຍາ</v>
          </cell>
          <cell r="S157" t="str">
            <v>ໄຊທານີ</v>
          </cell>
          <cell r="T157" t="str">
            <v>ນະຄອນຫຼວງ</v>
          </cell>
          <cell r="X157" t="str">
            <v>01-20018228</v>
          </cell>
          <cell r="Y157" t="str">
            <v>ລລ</v>
          </cell>
          <cell r="Z157" t="str">
            <v>ພຸດ</v>
          </cell>
          <cell r="AA157" t="str">
            <v>ບໍ່ມີ</v>
          </cell>
          <cell r="AB157">
            <v>44438</v>
          </cell>
          <cell r="AC157">
            <v>44438</v>
          </cell>
          <cell r="AI157">
            <v>43524</v>
          </cell>
          <cell r="AM157" t="str">
            <v>ຂັບລົດ</v>
          </cell>
          <cell r="AN157" t="str">
            <v>ມ 7</v>
          </cell>
          <cell r="AP157" t="str">
            <v>ຊຕ</v>
          </cell>
          <cell r="AQ157" t="str">
            <v>ພາຍໃນ</v>
          </cell>
          <cell r="AR157" t="str">
            <v>ສື່ສານ</v>
          </cell>
          <cell r="AS157" t="str">
            <v>ກໍ່ສ້າງ</v>
          </cell>
          <cell r="AT157" t="str">
            <v>ສູນຝຶກອົບຮົມວິຊາສະເພາະຄົບວົງຈອນ</v>
          </cell>
          <cell r="AU157" t="str">
            <v>01 ປີ</v>
          </cell>
          <cell r="AV157" t="str">
            <v>2024 - 2025</v>
          </cell>
          <cell r="BJ157" t="str">
            <v>ບຸນນຽມ ນົນສີມາວົງ</v>
          </cell>
          <cell r="BK157">
            <v>44</v>
          </cell>
          <cell r="BL157" t="str">
            <v>ໜອງພະຍາ</v>
          </cell>
          <cell r="BM157" t="str">
            <v>ໄຊທານີ</v>
          </cell>
          <cell r="BN157" t="str">
            <v>ນະຄອນຫຼວງ</v>
          </cell>
          <cell r="BO157" t="str">
            <v>ທະຫານ</v>
          </cell>
          <cell r="BP157" t="str">
            <v>ສູນສື່ສານກອງທັບ</v>
          </cell>
          <cell r="BQ157" t="str">
            <v>ບົວພອນ ນົນສີມາວົງ</v>
          </cell>
          <cell r="BR157">
            <v>40</v>
          </cell>
          <cell r="BS157" t="str">
            <v>ໜອງພະຍາ</v>
          </cell>
          <cell r="BT157" t="str">
            <v>ໄຊທານີ</v>
          </cell>
          <cell r="BU157" t="str">
            <v>ນະຄອນຫຼວງ</v>
          </cell>
          <cell r="BV157" t="str">
            <v>ປະຊາຊົນ</v>
          </cell>
          <cell r="CF157">
            <v>59202642</v>
          </cell>
          <cell r="CH157" t="str">
            <v>ປກສ</v>
          </cell>
          <cell r="CI157">
            <v>45729</v>
          </cell>
          <cell r="CJ157" t="str">
            <v>619/ຫກ</v>
          </cell>
        </row>
        <row r="158">
          <cell r="G158" t="str">
            <v>ທ. ໜູນີ ສຸກອາລຸນ</v>
          </cell>
          <cell r="H158" t="str">
            <v>ສທ</v>
          </cell>
          <cell r="J158" t="str">
            <v>ຊາຍ</v>
          </cell>
          <cell r="K158">
            <v>36624</v>
          </cell>
          <cell r="L158" t="str">
            <v>25 ປີ</v>
          </cell>
          <cell r="M158">
            <v>45336</v>
          </cell>
          <cell r="O158" t="str">
            <v>ໜອງບົວໃຫຍ່</v>
          </cell>
          <cell r="P158" t="str">
            <v>ປະທຸມພອນ</v>
          </cell>
          <cell r="Q158" t="str">
            <v>ຈໍາປາສັກ</v>
          </cell>
          <cell r="R158" t="str">
            <v>ໂນນສະຫງ່າ</v>
          </cell>
          <cell r="S158" t="str">
            <v>ໄຊເສດຖາ</v>
          </cell>
          <cell r="T158" t="str">
            <v>ນະຄອນຫຼວງ</v>
          </cell>
          <cell r="X158" t="str">
            <v>16-0339625</v>
          </cell>
          <cell r="Y158" t="str">
            <v>ລລ</v>
          </cell>
          <cell r="Z158" t="str">
            <v>ພຸດ</v>
          </cell>
          <cell r="AA158" t="str">
            <v>ບໍ່ມີ</v>
          </cell>
          <cell r="AB158">
            <v>44923</v>
          </cell>
          <cell r="AC158">
            <v>44923</v>
          </cell>
          <cell r="AI158">
            <v>43257</v>
          </cell>
          <cell r="AM158" t="str">
            <v>ຊ່ວຍວຽກ</v>
          </cell>
          <cell r="AN158" t="str">
            <v>ມ 7</v>
          </cell>
          <cell r="AP158" t="str">
            <v>ຊຕ</v>
          </cell>
          <cell r="AQ158" t="str">
            <v>ພາຍໃນ</v>
          </cell>
          <cell r="AR158" t="str">
            <v>ທົ່ວໄປ</v>
          </cell>
          <cell r="AS158" t="str">
            <v>ກໍ່ສ້າງ</v>
          </cell>
          <cell r="AT158" t="str">
            <v>ສູນຝຶກອົບຮົມວິຊາສະເພາະຄົບວົງຈອນ</v>
          </cell>
          <cell r="AU158" t="str">
            <v>1 ປີ</v>
          </cell>
          <cell r="AV158" t="str">
            <v>2022 - 2023</v>
          </cell>
          <cell r="BJ158" t="str">
            <v>ແອ ສີຊຽງສາ</v>
          </cell>
          <cell r="BK158">
            <v>45</v>
          </cell>
          <cell r="BL158" t="str">
            <v>ໜອງບົວໃຫຍ່</v>
          </cell>
          <cell r="BM158" t="str">
            <v>ປະທຸມພອນ</v>
          </cell>
          <cell r="BN158" t="str">
            <v>ຈໍາປາສັກ</v>
          </cell>
          <cell r="BO158" t="str">
            <v>ປະຊາຊົນ</v>
          </cell>
          <cell r="BQ158" t="str">
            <v>ໜັກ ສຸກອາລຸນ</v>
          </cell>
          <cell r="BR158">
            <v>45</v>
          </cell>
          <cell r="BS158" t="str">
            <v>ໜອງບົວໃຫຍ່</v>
          </cell>
          <cell r="BT158" t="str">
            <v>ປະທຸມພອນ</v>
          </cell>
          <cell r="BU158" t="str">
            <v>ຈໍາປາສັກ</v>
          </cell>
          <cell r="BV158" t="str">
            <v>ປະຊາຊົນ</v>
          </cell>
          <cell r="CF158">
            <v>93543089</v>
          </cell>
          <cell r="CH158" t="str">
            <v>ປກສ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ABD6E-8354-4B3B-BFF2-F465CE0FEA1F}">
  <dimension ref="A1:CL18"/>
  <sheetViews>
    <sheetView topLeftCell="A3" zoomScale="80" zoomScaleNormal="80" workbookViewId="0">
      <selection activeCell="D12" sqref="D12"/>
    </sheetView>
  </sheetViews>
  <sheetFormatPr defaultColWidth="9.1796875" defaultRowHeight="17" x14ac:dyDescent="0.35"/>
  <cols>
    <col min="1" max="1" width="7" style="2" customWidth="1"/>
    <col min="2" max="2" width="17.54296875" style="2" bestFit="1" customWidth="1"/>
    <col min="3" max="3" width="14.26953125" style="2" bestFit="1" customWidth="1"/>
    <col min="4" max="4" width="16.453125" style="2" bestFit="1" customWidth="1"/>
    <col min="5" max="5" width="13.453125" style="2" bestFit="1" customWidth="1"/>
    <col min="6" max="6" width="44.7265625" style="3" bestFit="1" customWidth="1"/>
    <col min="7" max="7" width="25.453125" style="3" bestFit="1" customWidth="1"/>
    <col min="8" max="8" width="8.453125" style="4" bestFit="1" customWidth="1"/>
    <col min="9" max="9" width="10.54296875" style="2" bestFit="1" customWidth="1"/>
    <col min="10" max="10" width="9" style="2" bestFit="1" customWidth="1"/>
    <col min="11" max="11" width="17.453125" style="2" bestFit="1" customWidth="1"/>
    <col min="12" max="12" width="9.26953125" style="2" bestFit="1" customWidth="1"/>
    <col min="13" max="13" width="21.26953125" style="2" bestFit="1" customWidth="1"/>
    <col min="14" max="14" width="12" style="2" bestFit="1" customWidth="1"/>
    <col min="15" max="15" width="14.453125" style="2" bestFit="1" customWidth="1"/>
    <col min="16" max="17" width="12.7265625" style="2" bestFit="1" customWidth="1"/>
    <col min="18" max="18" width="15.453125" style="2" bestFit="1" customWidth="1"/>
    <col min="19" max="19" width="13.7265625" style="2" bestFit="1" customWidth="1"/>
    <col min="20" max="20" width="12.7265625" style="2" bestFit="1" customWidth="1"/>
    <col min="21" max="22" width="15" style="2" bestFit="1" customWidth="1"/>
    <col min="23" max="23" width="9.81640625" style="2" bestFit="1" customWidth="1"/>
    <col min="24" max="24" width="20.1796875" style="2" bestFit="1" customWidth="1"/>
    <col min="25" max="25" width="11.1796875" style="2" bestFit="1" customWidth="1"/>
    <col min="26" max="26" width="13" style="2" bestFit="1" customWidth="1"/>
    <col min="27" max="27" width="20.54296875" style="2" bestFit="1" customWidth="1"/>
    <col min="28" max="28" width="26.81640625" style="2" bestFit="1" customWidth="1"/>
    <col min="29" max="29" width="23.26953125" style="2" bestFit="1" customWidth="1"/>
    <col min="30" max="30" width="23" style="2" bestFit="1" customWidth="1"/>
    <col min="31" max="31" width="25.453125" style="2" bestFit="1" customWidth="1"/>
    <col min="32" max="32" width="21.7265625" style="2" bestFit="1" customWidth="1"/>
    <col min="33" max="33" width="25.1796875" style="2" bestFit="1" customWidth="1"/>
    <col min="34" max="34" width="21.453125" style="2" bestFit="1" customWidth="1"/>
    <col min="35" max="35" width="24" style="2" bestFit="1" customWidth="1"/>
    <col min="36" max="36" width="21.7265625" style="2" bestFit="1" customWidth="1"/>
    <col min="37" max="37" width="25.1796875" style="2" bestFit="1" customWidth="1"/>
    <col min="38" max="38" width="19.7265625" style="2" bestFit="1" customWidth="1"/>
    <col min="39" max="39" width="40" style="2" bestFit="1" customWidth="1"/>
    <col min="40" max="40" width="20" style="2" bestFit="1" customWidth="1"/>
    <col min="41" max="41" width="20.1796875" style="2" bestFit="1" customWidth="1"/>
    <col min="42" max="42" width="10.54296875" style="2" bestFit="1" customWidth="1"/>
    <col min="43" max="43" width="23.26953125" style="2" bestFit="1" customWidth="1"/>
    <col min="44" max="44" width="41.7265625" style="2" bestFit="1" customWidth="1"/>
    <col min="45" max="45" width="10.54296875" style="2" bestFit="1" customWidth="1"/>
    <col min="46" max="46" width="49.7265625" style="2" bestFit="1" customWidth="1"/>
    <col min="47" max="47" width="13.81640625" style="2" bestFit="1" customWidth="1"/>
    <col min="48" max="48" width="15.54296875" style="2" bestFit="1" customWidth="1"/>
    <col min="49" max="49" width="10.54296875" style="2" bestFit="1" customWidth="1"/>
    <col min="50" max="50" width="23.26953125" style="2" bestFit="1" customWidth="1"/>
    <col min="51" max="51" width="20.1796875" style="2" bestFit="1" customWidth="1"/>
    <col min="52" max="52" width="10.54296875" style="2" bestFit="1" customWidth="1"/>
    <col min="53" max="53" width="31.54296875" style="2" bestFit="1" customWidth="1"/>
    <col min="54" max="54" width="13.81640625" style="2" bestFit="1" customWidth="1"/>
    <col min="55" max="55" width="15.54296875" style="2" bestFit="1" customWidth="1"/>
    <col min="56" max="56" width="10.54296875" style="2" bestFit="1" customWidth="1"/>
    <col min="57" max="57" width="37" style="2" bestFit="1" customWidth="1"/>
    <col min="58" max="58" width="10.54296875" style="2" bestFit="1" customWidth="1"/>
    <col min="59" max="59" width="49.7265625" style="2" bestFit="1" customWidth="1"/>
    <col min="60" max="60" width="10.7265625" style="2" bestFit="1" customWidth="1"/>
    <col min="61" max="61" width="15.54296875" style="2" bestFit="1" customWidth="1"/>
    <col min="62" max="62" width="21.7265625" style="2" bestFit="1" customWidth="1"/>
    <col min="63" max="63" width="9.26953125" style="2" bestFit="1" customWidth="1"/>
    <col min="64" max="64" width="17" style="2" bestFit="1" customWidth="1"/>
    <col min="65" max="65" width="13.7265625" style="2" bestFit="1" customWidth="1"/>
    <col min="66" max="66" width="12.7265625" style="2" bestFit="1" customWidth="1"/>
    <col min="67" max="67" width="15.54296875" style="2" bestFit="1" customWidth="1"/>
    <col min="68" max="68" width="37.54296875" style="2" bestFit="1" customWidth="1"/>
    <col min="69" max="69" width="23.1796875" style="2" bestFit="1" customWidth="1"/>
    <col min="70" max="70" width="9.26953125" style="2" bestFit="1" customWidth="1"/>
    <col min="71" max="71" width="17" style="2" bestFit="1" customWidth="1"/>
    <col min="72" max="72" width="13.7265625" style="2" bestFit="1" customWidth="1"/>
    <col min="73" max="73" width="12.7265625" style="2" bestFit="1" customWidth="1"/>
    <col min="74" max="74" width="19.453125" style="2" bestFit="1" customWidth="1"/>
    <col min="75" max="75" width="39.54296875" style="2" bestFit="1" customWidth="1"/>
    <col min="76" max="76" width="29.453125" style="2" bestFit="1" customWidth="1"/>
    <col min="77" max="77" width="17.453125" style="2" bestFit="1" customWidth="1"/>
    <col min="78" max="78" width="17" style="2" bestFit="1" customWidth="1"/>
    <col min="79" max="79" width="11.7265625" style="2" bestFit="1" customWidth="1"/>
    <col min="80" max="80" width="10.81640625" style="2" bestFit="1" customWidth="1"/>
    <col min="81" max="81" width="16.1796875" style="2" bestFit="1" customWidth="1"/>
    <col min="82" max="82" width="27.81640625" style="2" bestFit="1" customWidth="1"/>
    <col min="83" max="83" width="15.26953125" style="2" bestFit="1" customWidth="1"/>
    <col min="84" max="84" width="12" style="2" bestFit="1" customWidth="1"/>
    <col min="85" max="85" width="13.26953125" style="2" bestFit="1" customWidth="1"/>
    <col min="86" max="86" width="25.26953125" style="5" bestFit="1" customWidth="1"/>
    <col min="87" max="87" width="23" style="2" bestFit="1" customWidth="1"/>
    <col min="88" max="88" width="12.1796875" style="2" bestFit="1" customWidth="1"/>
    <col min="89" max="89" width="39.1796875" style="4" bestFit="1" customWidth="1"/>
    <col min="90" max="90" width="14.54296875" style="2" bestFit="1" customWidth="1"/>
    <col min="91" max="16384" width="9.1796875" style="2"/>
  </cols>
  <sheetData>
    <row r="1" spans="1:90" ht="41.25" customHeight="1" x14ac:dyDescent="0.35">
      <c r="A1" s="1" t="s">
        <v>0</v>
      </c>
    </row>
    <row r="2" spans="1:90" ht="39" customHeight="1" x14ac:dyDescent="0.35">
      <c r="B2" s="106" t="s">
        <v>1</v>
      </c>
      <c r="C2" s="106"/>
      <c r="D2" s="106"/>
      <c r="E2" s="106"/>
      <c r="F2" s="2"/>
      <c r="G2" s="2"/>
      <c r="H2" s="2"/>
      <c r="O2" s="106" t="s">
        <v>2</v>
      </c>
      <c r="P2" s="106"/>
      <c r="Q2" s="106"/>
      <c r="R2" s="106" t="s">
        <v>3</v>
      </c>
      <c r="S2" s="106"/>
      <c r="T2" s="106"/>
      <c r="AP2" s="106" t="s">
        <v>4</v>
      </c>
      <c r="AQ2" s="106"/>
      <c r="AR2" s="106"/>
      <c r="AS2" s="106"/>
      <c r="AT2" s="106"/>
      <c r="AU2" s="106"/>
      <c r="AV2" s="106"/>
      <c r="AW2" s="106" t="s">
        <v>5</v>
      </c>
      <c r="AX2" s="106"/>
      <c r="AY2" s="106"/>
      <c r="AZ2" s="106"/>
      <c r="BA2" s="106"/>
      <c r="BB2" s="106"/>
      <c r="BC2" s="106"/>
      <c r="BD2" s="106" t="s">
        <v>6</v>
      </c>
      <c r="BE2" s="106"/>
      <c r="BF2" s="106"/>
      <c r="BG2" s="106"/>
      <c r="BH2" s="106"/>
      <c r="BI2" s="106"/>
      <c r="BJ2" s="106" t="s">
        <v>7</v>
      </c>
      <c r="BK2" s="106"/>
      <c r="BL2" s="106"/>
      <c r="BM2" s="106"/>
      <c r="BN2" s="106"/>
      <c r="BO2" s="106"/>
      <c r="BP2" s="106"/>
      <c r="BQ2" s="106" t="s">
        <v>8</v>
      </c>
      <c r="BR2" s="106"/>
      <c r="BS2" s="106"/>
      <c r="BT2" s="106"/>
      <c r="BU2" s="106"/>
      <c r="BV2" s="106"/>
      <c r="BW2" s="106"/>
      <c r="BX2" s="106" t="s">
        <v>9</v>
      </c>
      <c r="BY2" s="106"/>
      <c r="BZ2" s="106"/>
      <c r="CA2" s="106"/>
      <c r="CB2" s="106"/>
      <c r="CC2" s="106"/>
      <c r="CD2" s="106"/>
      <c r="CH2" s="2"/>
    </row>
    <row r="3" spans="1:90" ht="34" x14ac:dyDescent="0.35">
      <c r="A3" s="6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7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8" t="s">
        <v>20</v>
      </c>
      <c r="L3" s="8" t="s">
        <v>21</v>
      </c>
      <c r="M3" s="9" t="s">
        <v>22</v>
      </c>
      <c r="N3" s="9" t="s">
        <v>23</v>
      </c>
      <c r="O3" s="6" t="s">
        <v>24</v>
      </c>
      <c r="P3" s="6" t="s">
        <v>25</v>
      </c>
      <c r="Q3" s="6" t="s">
        <v>26</v>
      </c>
      <c r="R3" s="6" t="s">
        <v>27</v>
      </c>
      <c r="S3" s="6" t="s">
        <v>25</v>
      </c>
      <c r="T3" s="6" t="s">
        <v>26</v>
      </c>
      <c r="U3" s="7" t="s">
        <v>28</v>
      </c>
      <c r="V3" s="6" t="s">
        <v>29</v>
      </c>
      <c r="W3" s="10" t="s">
        <v>30</v>
      </c>
      <c r="X3" s="11" t="s">
        <v>31</v>
      </c>
      <c r="Y3" s="6" t="s">
        <v>32</v>
      </c>
      <c r="Z3" s="6" t="s">
        <v>33</v>
      </c>
      <c r="AA3" s="11" t="s">
        <v>34</v>
      </c>
      <c r="AB3" s="12" t="s">
        <v>35</v>
      </c>
      <c r="AC3" s="12" t="s">
        <v>36</v>
      </c>
      <c r="AD3" s="12" t="s">
        <v>37</v>
      </c>
      <c r="AE3" s="12" t="s">
        <v>38</v>
      </c>
      <c r="AF3" s="12" t="s">
        <v>39</v>
      </c>
      <c r="AG3" s="12" t="s">
        <v>40</v>
      </c>
      <c r="AH3" s="12" t="s">
        <v>41</v>
      </c>
      <c r="AI3" s="8" t="s">
        <v>42</v>
      </c>
      <c r="AJ3" s="12" t="s">
        <v>43</v>
      </c>
      <c r="AK3" s="12" t="s">
        <v>44</v>
      </c>
      <c r="AL3" s="12" t="s">
        <v>45</v>
      </c>
      <c r="AM3" s="6" t="s">
        <v>46</v>
      </c>
      <c r="AN3" s="11" t="s">
        <v>47</v>
      </c>
      <c r="AO3" s="11" t="s">
        <v>48</v>
      </c>
      <c r="AP3" s="6" t="s">
        <v>49</v>
      </c>
      <c r="AQ3" s="6" t="s">
        <v>50</v>
      </c>
      <c r="AR3" s="6" t="s">
        <v>51</v>
      </c>
      <c r="AS3" s="6" t="s">
        <v>52</v>
      </c>
      <c r="AT3" s="6" t="s">
        <v>53</v>
      </c>
      <c r="AU3" s="6" t="s">
        <v>54</v>
      </c>
      <c r="AV3" s="6" t="s">
        <v>55</v>
      </c>
      <c r="AW3" s="6" t="s">
        <v>49</v>
      </c>
      <c r="AX3" s="6" t="s">
        <v>50</v>
      </c>
      <c r="AY3" s="6" t="s">
        <v>51</v>
      </c>
      <c r="AZ3" s="6" t="s">
        <v>52</v>
      </c>
      <c r="BA3" s="6" t="s">
        <v>53</v>
      </c>
      <c r="BB3" s="6" t="s">
        <v>54</v>
      </c>
      <c r="BC3" s="6" t="s">
        <v>55</v>
      </c>
      <c r="BD3" s="6" t="s">
        <v>49</v>
      </c>
      <c r="BE3" s="6" t="s">
        <v>51</v>
      </c>
      <c r="BF3" s="6" t="s">
        <v>52</v>
      </c>
      <c r="BG3" s="6" t="s">
        <v>53</v>
      </c>
      <c r="BH3" s="6" t="s">
        <v>54</v>
      </c>
      <c r="BI3" s="6" t="s">
        <v>55</v>
      </c>
      <c r="BJ3" s="6" t="s">
        <v>56</v>
      </c>
      <c r="BK3" s="6" t="s">
        <v>21</v>
      </c>
      <c r="BL3" s="6" t="s">
        <v>57</v>
      </c>
      <c r="BM3" s="6" t="s">
        <v>25</v>
      </c>
      <c r="BN3" s="6" t="s">
        <v>26</v>
      </c>
      <c r="BO3" s="6" t="s">
        <v>58</v>
      </c>
      <c r="BP3" s="6" t="s">
        <v>59</v>
      </c>
      <c r="BQ3" s="6" t="s">
        <v>60</v>
      </c>
      <c r="BR3" s="6" t="s">
        <v>21</v>
      </c>
      <c r="BS3" s="6" t="s">
        <v>57</v>
      </c>
      <c r="BT3" s="6" t="s">
        <v>25</v>
      </c>
      <c r="BU3" s="6" t="s">
        <v>26</v>
      </c>
      <c r="BV3" s="6" t="s">
        <v>58</v>
      </c>
      <c r="BW3" s="6" t="s">
        <v>59</v>
      </c>
      <c r="BX3" s="6" t="s">
        <v>61</v>
      </c>
      <c r="BY3" s="6" t="s">
        <v>20</v>
      </c>
      <c r="BZ3" s="6" t="s">
        <v>57</v>
      </c>
      <c r="CA3" s="6" t="s">
        <v>25</v>
      </c>
      <c r="CB3" s="6" t="s">
        <v>26</v>
      </c>
      <c r="CC3" s="6" t="s">
        <v>58</v>
      </c>
      <c r="CD3" s="6" t="s">
        <v>59</v>
      </c>
      <c r="CE3" s="6" t="s">
        <v>62</v>
      </c>
      <c r="CF3" s="13" t="s">
        <v>63</v>
      </c>
      <c r="CG3" s="6" t="s">
        <v>64</v>
      </c>
      <c r="CH3" s="11" t="s">
        <v>65</v>
      </c>
      <c r="CI3" s="11" t="s">
        <v>66</v>
      </c>
      <c r="CJ3" s="6" t="s">
        <v>23</v>
      </c>
      <c r="CK3" s="6" t="s">
        <v>67</v>
      </c>
      <c r="CL3" s="6" t="s">
        <v>68</v>
      </c>
    </row>
    <row r="4" spans="1:90" x14ac:dyDescent="0.35">
      <c r="A4" s="14"/>
      <c r="B4" s="15">
        <v>1</v>
      </c>
      <c r="C4" s="15">
        <v>2</v>
      </c>
      <c r="D4" s="15">
        <v>3</v>
      </c>
      <c r="E4" s="15">
        <v>4</v>
      </c>
      <c r="F4" s="15">
        <v>5</v>
      </c>
      <c r="G4" s="15">
        <v>1</v>
      </c>
      <c r="H4" s="15">
        <v>2</v>
      </c>
      <c r="I4" s="15">
        <v>3</v>
      </c>
      <c r="J4" s="15">
        <v>4</v>
      </c>
      <c r="K4" s="15">
        <v>5</v>
      </c>
      <c r="L4" s="15">
        <v>6</v>
      </c>
      <c r="M4" s="15">
        <v>7</v>
      </c>
      <c r="N4" s="15">
        <v>8</v>
      </c>
      <c r="O4" s="15">
        <v>9</v>
      </c>
      <c r="P4" s="15">
        <v>10</v>
      </c>
      <c r="Q4" s="15">
        <v>11</v>
      </c>
      <c r="R4" s="15">
        <v>12</v>
      </c>
      <c r="S4" s="15">
        <v>13</v>
      </c>
      <c r="T4" s="15">
        <v>14</v>
      </c>
      <c r="U4" s="15">
        <v>15</v>
      </c>
      <c r="V4" s="15">
        <v>16</v>
      </c>
      <c r="W4" s="15">
        <v>17</v>
      </c>
      <c r="X4" s="15">
        <v>18</v>
      </c>
      <c r="Y4" s="15">
        <v>19</v>
      </c>
      <c r="Z4" s="15">
        <v>20</v>
      </c>
      <c r="AA4" s="15">
        <v>21</v>
      </c>
      <c r="AB4" s="15">
        <v>22</v>
      </c>
      <c r="AC4" s="15">
        <v>23</v>
      </c>
      <c r="AD4" s="15">
        <v>24</v>
      </c>
      <c r="AE4" s="15">
        <v>25</v>
      </c>
      <c r="AF4" s="15">
        <v>26</v>
      </c>
      <c r="AG4" s="15">
        <v>27</v>
      </c>
      <c r="AH4" s="15">
        <v>28</v>
      </c>
      <c r="AI4" s="15">
        <v>29</v>
      </c>
      <c r="AJ4" s="15">
        <v>30</v>
      </c>
      <c r="AK4" s="15">
        <v>31</v>
      </c>
      <c r="AL4" s="15">
        <v>32</v>
      </c>
      <c r="AM4" s="15">
        <v>33</v>
      </c>
      <c r="AN4" s="15">
        <v>34</v>
      </c>
      <c r="AO4" s="15">
        <v>35</v>
      </c>
      <c r="AP4" s="15">
        <v>36</v>
      </c>
      <c r="AQ4" s="15">
        <v>37</v>
      </c>
      <c r="AR4" s="15">
        <v>38</v>
      </c>
      <c r="AS4" s="15">
        <v>39</v>
      </c>
      <c r="AT4" s="15">
        <v>40</v>
      </c>
      <c r="AU4" s="15">
        <v>41</v>
      </c>
      <c r="AV4" s="15">
        <v>42</v>
      </c>
      <c r="AW4" s="15">
        <v>43</v>
      </c>
      <c r="AX4" s="15">
        <v>44</v>
      </c>
      <c r="AY4" s="15">
        <v>45</v>
      </c>
      <c r="AZ4" s="15">
        <v>46</v>
      </c>
      <c r="BA4" s="15">
        <v>47</v>
      </c>
      <c r="BB4" s="15">
        <v>48</v>
      </c>
      <c r="BC4" s="15">
        <v>49</v>
      </c>
      <c r="BD4" s="15">
        <v>50</v>
      </c>
      <c r="BE4" s="15">
        <v>51</v>
      </c>
      <c r="BF4" s="15">
        <v>52</v>
      </c>
      <c r="BG4" s="15">
        <v>53</v>
      </c>
      <c r="BH4" s="15">
        <v>54</v>
      </c>
      <c r="BI4" s="15">
        <v>55</v>
      </c>
      <c r="BJ4" s="15">
        <v>56</v>
      </c>
      <c r="BK4" s="15">
        <v>57</v>
      </c>
      <c r="BL4" s="15">
        <v>58</v>
      </c>
      <c r="BM4" s="15">
        <v>59</v>
      </c>
      <c r="BN4" s="15">
        <v>60</v>
      </c>
      <c r="BO4" s="15">
        <v>61</v>
      </c>
      <c r="BP4" s="15">
        <v>62</v>
      </c>
      <c r="BQ4" s="15">
        <v>63</v>
      </c>
      <c r="BR4" s="15">
        <v>64</v>
      </c>
      <c r="BS4" s="15">
        <v>65</v>
      </c>
      <c r="BT4" s="15">
        <v>66</v>
      </c>
      <c r="BU4" s="15">
        <v>67</v>
      </c>
      <c r="BV4" s="15">
        <v>68</v>
      </c>
      <c r="BW4" s="15">
        <v>69</v>
      </c>
      <c r="BX4" s="15">
        <v>70</v>
      </c>
      <c r="BY4" s="15">
        <v>71</v>
      </c>
      <c r="BZ4" s="15">
        <v>72</v>
      </c>
      <c r="CA4" s="15">
        <v>73</v>
      </c>
      <c r="CB4" s="15">
        <v>74</v>
      </c>
      <c r="CC4" s="15">
        <v>75</v>
      </c>
      <c r="CD4" s="15">
        <v>76</v>
      </c>
      <c r="CE4" s="15">
        <v>77</v>
      </c>
      <c r="CF4" s="15">
        <v>78</v>
      </c>
      <c r="CG4" s="15">
        <v>79</v>
      </c>
      <c r="CH4" s="15">
        <v>80</v>
      </c>
      <c r="CI4" s="15">
        <v>81</v>
      </c>
      <c r="CJ4" s="15">
        <v>82</v>
      </c>
      <c r="CK4" s="15">
        <v>83</v>
      </c>
      <c r="CL4" s="15">
        <v>84</v>
      </c>
    </row>
    <row r="5" spans="1:90" s="27" customFormat="1" x14ac:dyDescent="0.35">
      <c r="A5" s="16">
        <v>1</v>
      </c>
      <c r="B5" s="17" t="s">
        <v>69</v>
      </c>
      <c r="C5" s="18" t="s">
        <v>70</v>
      </c>
      <c r="D5" s="19" t="s">
        <v>71</v>
      </c>
      <c r="E5" s="18"/>
      <c r="F5" s="20"/>
      <c r="G5" s="21" t="s">
        <v>268</v>
      </c>
      <c r="H5" s="18" t="s">
        <v>72</v>
      </c>
      <c r="I5" s="18" t="s">
        <v>73</v>
      </c>
      <c r="J5" s="18" t="s">
        <v>74</v>
      </c>
      <c r="K5" s="22">
        <v>22600</v>
      </c>
      <c r="L5" s="22" t="s">
        <v>75</v>
      </c>
      <c r="M5" s="22">
        <v>45373</v>
      </c>
      <c r="N5" s="22"/>
      <c r="O5" s="18" t="s">
        <v>76</v>
      </c>
      <c r="P5" s="18" t="s">
        <v>77</v>
      </c>
      <c r="Q5" s="18" t="s">
        <v>78</v>
      </c>
      <c r="R5" s="18" t="s">
        <v>79</v>
      </c>
      <c r="S5" s="18" t="s">
        <v>80</v>
      </c>
      <c r="T5" s="18" t="s">
        <v>81</v>
      </c>
      <c r="U5" s="23"/>
      <c r="V5" s="18"/>
      <c r="W5" s="23"/>
      <c r="X5" s="18"/>
      <c r="Y5" s="18" t="s">
        <v>82</v>
      </c>
      <c r="Z5" s="18" t="s">
        <v>83</v>
      </c>
      <c r="AA5" s="18" t="s">
        <v>84</v>
      </c>
      <c r="AB5" s="22">
        <v>27566</v>
      </c>
      <c r="AC5" s="22">
        <v>27626</v>
      </c>
      <c r="AD5" s="18"/>
      <c r="AE5" s="22">
        <v>32554</v>
      </c>
      <c r="AF5" s="22"/>
      <c r="AG5" s="22">
        <v>33040</v>
      </c>
      <c r="AH5" s="22"/>
      <c r="AI5" s="22">
        <v>28015</v>
      </c>
      <c r="AJ5" s="18"/>
      <c r="AK5" s="18"/>
      <c r="AL5" s="24" t="s">
        <v>85</v>
      </c>
      <c r="AM5" s="18" t="s">
        <v>86</v>
      </c>
      <c r="AN5" s="18" t="s">
        <v>87</v>
      </c>
      <c r="AO5" s="18" t="s">
        <v>88</v>
      </c>
      <c r="AP5" s="18" t="s">
        <v>89</v>
      </c>
      <c r="AQ5" s="18" t="s">
        <v>90</v>
      </c>
      <c r="AR5" s="18" t="s">
        <v>91</v>
      </c>
      <c r="AS5" s="18" t="s">
        <v>92</v>
      </c>
      <c r="AT5" s="18" t="s">
        <v>93</v>
      </c>
      <c r="AU5" s="18" t="s">
        <v>94</v>
      </c>
      <c r="AV5" s="18" t="s">
        <v>95</v>
      </c>
      <c r="AW5" s="18"/>
      <c r="AX5" s="18"/>
      <c r="AY5" s="18"/>
      <c r="AZ5" s="18"/>
      <c r="BA5" s="18"/>
      <c r="BB5" s="18"/>
      <c r="BC5" s="18"/>
      <c r="BD5" s="18" t="s">
        <v>96</v>
      </c>
      <c r="BE5" s="18" t="s">
        <v>97</v>
      </c>
      <c r="BF5" s="18" t="s">
        <v>98</v>
      </c>
      <c r="BG5" s="24" t="s">
        <v>99</v>
      </c>
      <c r="BH5" s="24" t="s">
        <v>100</v>
      </c>
      <c r="BI5" s="18">
        <v>2013</v>
      </c>
      <c r="BJ5" s="18" t="s">
        <v>101</v>
      </c>
      <c r="BK5" s="18"/>
      <c r="BL5" s="18"/>
      <c r="BM5" s="18"/>
      <c r="BN5" s="18"/>
      <c r="BO5" s="18"/>
      <c r="BP5" s="18"/>
      <c r="BQ5" s="18" t="s">
        <v>102</v>
      </c>
      <c r="BR5" s="18" t="s">
        <v>101</v>
      </c>
      <c r="BS5" s="18"/>
      <c r="BT5" s="18"/>
      <c r="BU5" s="18"/>
      <c r="BV5" s="18"/>
      <c r="BW5" s="18"/>
      <c r="BX5" s="18" t="s">
        <v>103</v>
      </c>
      <c r="BY5" s="18"/>
      <c r="BZ5" s="18" t="s">
        <v>79</v>
      </c>
      <c r="CA5" s="18" t="s">
        <v>80</v>
      </c>
      <c r="CB5" s="24" t="s">
        <v>81</v>
      </c>
      <c r="CC5" s="18" t="s">
        <v>104</v>
      </c>
      <c r="CD5" s="18"/>
      <c r="CE5" s="18">
        <v>3</v>
      </c>
      <c r="CF5" s="25">
        <v>99800660</v>
      </c>
      <c r="CG5" s="26"/>
      <c r="CH5" s="24" t="s">
        <v>91</v>
      </c>
      <c r="CI5" s="18"/>
      <c r="CJ5" s="18"/>
      <c r="CK5" s="21" t="s">
        <v>71</v>
      </c>
      <c r="CL5" s="18"/>
    </row>
    <row r="6" spans="1:90" s="29" customFormat="1" ht="37.5" customHeight="1" x14ac:dyDescent="0.35">
      <c r="A6" s="16">
        <v>7</v>
      </c>
      <c r="B6" s="17" t="s">
        <v>69</v>
      </c>
      <c r="C6" s="18" t="s">
        <v>70</v>
      </c>
      <c r="D6" s="19" t="s">
        <v>159</v>
      </c>
      <c r="E6" s="18"/>
      <c r="F6" s="20" t="s">
        <v>84</v>
      </c>
      <c r="G6" s="21" t="s">
        <v>268</v>
      </c>
      <c r="H6" s="18" t="s">
        <v>128</v>
      </c>
      <c r="I6" s="18" t="s">
        <v>160</v>
      </c>
      <c r="J6" s="18" t="s">
        <v>74</v>
      </c>
      <c r="K6" s="22">
        <v>31297</v>
      </c>
      <c r="L6" s="22" t="s">
        <v>161</v>
      </c>
      <c r="M6" s="22">
        <v>45511</v>
      </c>
      <c r="N6" s="22"/>
      <c r="O6" s="18" t="s">
        <v>162</v>
      </c>
      <c r="P6" s="18" t="s">
        <v>107</v>
      </c>
      <c r="Q6" s="18" t="s">
        <v>81</v>
      </c>
      <c r="R6" s="18" t="s">
        <v>132</v>
      </c>
      <c r="S6" s="18" t="s">
        <v>80</v>
      </c>
      <c r="T6" s="18" t="s">
        <v>81</v>
      </c>
      <c r="U6" s="31" t="s">
        <v>163</v>
      </c>
      <c r="V6" s="24"/>
      <c r="W6" s="31"/>
      <c r="X6" s="24"/>
      <c r="Y6" s="24" t="s">
        <v>82</v>
      </c>
      <c r="Z6" s="24" t="s">
        <v>83</v>
      </c>
      <c r="AA6" s="24" t="s">
        <v>84</v>
      </c>
      <c r="AB6" s="30">
        <v>40398</v>
      </c>
      <c r="AC6" s="30">
        <v>40398</v>
      </c>
      <c r="AD6" s="24"/>
      <c r="AE6" s="30">
        <v>41754</v>
      </c>
      <c r="AF6" s="30"/>
      <c r="AG6" s="30">
        <v>42213</v>
      </c>
      <c r="AH6" s="30"/>
      <c r="AI6" s="30">
        <v>41177</v>
      </c>
      <c r="AJ6" s="24"/>
      <c r="AK6" s="30">
        <v>39933</v>
      </c>
      <c r="AL6" s="24" t="s">
        <v>164</v>
      </c>
      <c r="AM6" s="18" t="s">
        <v>145</v>
      </c>
      <c r="AN6" s="24" t="s">
        <v>108</v>
      </c>
      <c r="AO6" s="24" t="s">
        <v>115</v>
      </c>
      <c r="AP6" s="24" t="s">
        <v>130</v>
      </c>
      <c r="AQ6" s="24" t="s">
        <v>117</v>
      </c>
      <c r="AR6" s="24" t="s">
        <v>165</v>
      </c>
      <c r="AS6" s="24" t="s">
        <v>166</v>
      </c>
      <c r="AT6" s="24" t="s">
        <v>167</v>
      </c>
      <c r="AU6" s="24" t="s">
        <v>125</v>
      </c>
      <c r="AV6" s="24" t="s">
        <v>131</v>
      </c>
      <c r="AW6" s="24" t="s">
        <v>130</v>
      </c>
      <c r="AX6" s="24" t="s">
        <v>117</v>
      </c>
      <c r="AY6" s="24" t="s">
        <v>168</v>
      </c>
      <c r="AZ6" s="24" t="s">
        <v>92</v>
      </c>
      <c r="BA6" s="24" t="s">
        <v>169</v>
      </c>
      <c r="BB6" s="24" t="s">
        <v>125</v>
      </c>
      <c r="BC6" s="24" t="s">
        <v>126</v>
      </c>
      <c r="BD6" s="24"/>
      <c r="BE6" s="24"/>
      <c r="BF6" s="24"/>
      <c r="BG6" s="24"/>
      <c r="BH6" s="24"/>
      <c r="BI6" s="24"/>
      <c r="BJ6" s="24" t="s">
        <v>170</v>
      </c>
      <c r="BK6" s="24"/>
      <c r="BL6" s="24" t="s">
        <v>171</v>
      </c>
      <c r="BM6" s="24" t="s">
        <v>172</v>
      </c>
      <c r="BN6" s="24" t="s">
        <v>172</v>
      </c>
      <c r="BO6" s="24" t="s">
        <v>121</v>
      </c>
      <c r="BP6" s="24"/>
      <c r="BQ6" s="24" t="s">
        <v>173</v>
      </c>
      <c r="BR6" s="24"/>
      <c r="BS6" s="24" t="s">
        <v>171</v>
      </c>
      <c r="BT6" s="24" t="s">
        <v>172</v>
      </c>
      <c r="BU6" s="24" t="s">
        <v>172</v>
      </c>
      <c r="BV6" s="24"/>
      <c r="BW6" s="24"/>
      <c r="BX6" s="24" t="s">
        <v>174</v>
      </c>
      <c r="BY6" s="30">
        <v>31457</v>
      </c>
      <c r="BZ6" s="24" t="s">
        <v>132</v>
      </c>
      <c r="CA6" s="24" t="s">
        <v>80</v>
      </c>
      <c r="CB6" s="18" t="s">
        <v>81</v>
      </c>
      <c r="CC6" s="24" t="s">
        <v>175</v>
      </c>
      <c r="CD6" s="24" t="s">
        <v>176</v>
      </c>
      <c r="CE6" s="24">
        <v>2</v>
      </c>
      <c r="CF6" s="32">
        <v>95324456</v>
      </c>
      <c r="CG6" s="26"/>
      <c r="CH6" s="24" t="s">
        <v>91</v>
      </c>
      <c r="CI6" s="17"/>
      <c r="CJ6" s="17"/>
      <c r="CK6" s="28" t="s">
        <v>159</v>
      </c>
      <c r="CL6" s="17"/>
    </row>
    <row r="7" spans="1:90" s="29" customFormat="1" ht="34" x14ac:dyDescent="0.35">
      <c r="A7" s="16">
        <v>8</v>
      </c>
      <c r="B7" s="17" t="s">
        <v>69</v>
      </c>
      <c r="C7" s="18" t="s">
        <v>70</v>
      </c>
      <c r="D7" s="19" t="s">
        <v>177</v>
      </c>
      <c r="E7" s="18"/>
      <c r="F7" s="20" t="s">
        <v>84</v>
      </c>
      <c r="G7" s="21" t="s">
        <v>268</v>
      </c>
      <c r="H7" s="24" t="s">
        <v>128</v>
      </c>
      <c r="I7" s="24"/>
      <c r="J7" s="18" t="s">
        <v>74</v>
      </c>
      <c r="K7" s="30">
        <v>28982</v>
      </c>
      <c r="L7" s="22" t="s">
        <v>136</v>
      </c>
      <c r="M7" s="30">
        <v>44977</v>
      </c>
      <c r="N7" s="30"/>
      <c r="O7" s="24" t="s">
        <v>178</v>
      </c>
      <c r="P7" s="24" t="s">
        <v>179</v>
      </c>
      <c r="Q7" s="18" t="s">
        <v>78</v>
      </c>
      <c r="R7" s="18" t="s">
        <v>180</v>
      </c>
      <c r="S7" s="18" t="s">
        <v>181</v>
      </c>
      <c r="T7" s="18" t="s">
        <v>81</v>
      </c>
      <c r="U7" s="31"/>
      <c r="V7" s="24"/>
      <c r="W7" s="31" t="s">
        <v>114</v>
      </c>
      <c r="X7" s="24"/>
      <c r="Y7" s="24" t="s">
        <v>82</v>
      </c>
      <c r="Z7" s="24" t="s">
        <v>83</v>
      </c>
      <c r="AA7" s="24" t="s">
        <v>182</v>
      </c>
      <c r="AB7" s="30">
        <v>36774</v>
      </c>
      <c r="AC7" s="30">
        <v>36774</v>
      </c>
      <c r="AD7" s="24"/>
      <c r="AE7" s="30">
        <v>41207</v>
      </c>
      <c r="AF7" s="30"/>
      <c r="AG7" s="30">
        <v>41684</v>
      </c>
      <c r="AH7" s="30"/>
      <c r="AI7" s="24"/>
      <c r="AJ7" s="24"/>
      <c r="AK7" s="24"/>
      <c r="AL7" s="24" t="s">
        <v>164</v>
      </c>
      <c r="AM7" s="18" t="s">
        <v>145</v>
      </c>
      <c r="AN7" s="24" t="s">
        <v>108</v>
      </c>
      <c r="AO7" s="24" t="s">
        <v>88</v>
      </c>
      <c r="AP7" s="24" t="s">
        <v>116</v>
      </c>
      <c r="AQ7" s="24" t="s">
        <v>90</v>
      </c>
      <c r="AR7" s="24" t="s">
        <v>183</v>
      </c>
      <c r="AS7" s="24" t="s">
        <v>92</v>
      </c>
      <c r="AT7" s="24" t="s">
        <v>93</v>
      </c>
      <c r="AU7" s="24" t="s">
        <v>184</v>
      </c>
      <c r="AV7" s="24" t="s">
        <v>185</v>
      </c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 t="s">
        <v>101</v>
      </c>
      <c r="BK7" s="24"/>
      <c r="BL7" s="24"/>
      <c r="BM7" s="24"/>
      <c r="BN7" s="18"/>
      <c r="BO7" s="24"/>
      <c r="BP7" s="24"/>
      <c r="BQ7" s="24" t="s">
        <v>186</v>
      </c>
      <c r="BR7" s="24">
        <v>70</v>
      </c>
      <c r="BS7" s="24" t="s">
        <v>178</v>
      </c>
      <c r="BT7" s="24" t="s">
        <v>179</v>
      </c>
      <c r="BU7" s="18" t="s">
        <v>78</v>
      </c>
      <c r="BV7" s="24" t="s">
        <v>121</v>
      </c>
      <c r="BW7" s="24"/>
      <c r="BX7" s="24" t="s">
        <v>187</v>
      </c>
      <c r="BY7" s="30">
        <v>29489</v>
      </c>
      <c r="BZ7" s="24" t="s">
        <v>188</v>
      </c>
      <c r="CA7" s="24" t="s">
        <v>181</v>
      </c>
      <c r="CB7" s="18" t="s">
        <v>81</v>
      </c>
      <c r="CC7" s="24" t="s">
        <v>158</v>
      </c>
      <c r="CD7" s="24" t="s">
        <v>189</v>
      </c>
      <c r="CE7" s="24">
        <v>2</v>
      </c>
      <c r="CF7" s="32">
        <v>52360461</v>
      </c>
      <c r="CG7" s="26"/>
      <c r="CH7" s="24" t="s">
        <v>91</v>
      </c>
      <c r="CI7" s="17"/>
      <c r="CJ7" s="17"/>
      <c r="CK7" s="28" t="s">
        <v>177</v>
      </c>
      <c r="CL7" s="17"/>
    </row>
    <row r="8" spans="1:90" s="29" customFormat="1" x14ac:dyDescent="0.35">
      <c r="A8" s="16">
        <v>6</v>
      </c>
      <c r="B8" s="17" t="s">
        <v>69</v>
      </c>
      <c r="C8" s="18" t="s">
        <v>70</v>
      </c>
      <c r="D8" s="19" t="s">
        <v>133</v>
      </c>
      <c r="E8" s="18"/>
      <c r="F8" s="20" t="s">
        <v>134</v>
      </c>
      <c r="G8" s="21" t="s">
        <v>268</v>
      </c>
      <c r="H8" s="24" t="s">
        <v>128</v>
      </c>
      <c r="I8" s="24" t="s">
        <v>135</v>
      </c>
      <c r="J8" s="18" t="s">
        <v>74</v>
      </c>
      <c r="K8" s="30">
        <v>28825</v>
      </c>
      <c r="L8" s="22" t="s">
        <v>136</v>
      </c>
      <c r="M8" s="30">
        <v>45240</v>
      </c>
      <c r="N8" s="30"/>
      <c r="O8" s="18" t="s">
        <v>137</v>
      </c>
      <c r="P8" s="18" t="s">
        <v>138</v>
      </c>
      <c r="Q8" s="18" t="s">
        <v>139</v>
      </c>
      <c r="R8" s="18" t="s">
        <v>140</v>
      </c>
      <c r="S8" s="18" t="s">
        <v>141</v>
      </c>
      <c r="T8" s="18" t="s">
        <v>81</v>
      </c>
      <c r="U8" s="31" t="s">
        <v>142</v>
      </c>
      <c r="V8" s="24"/>
      <c r="W8" s="31"/>
      <c r="X8" s="24" t="s">
        <v>84</v>
      </c>
      <c r="Y8" s="24" t="s">
        <v>82</v>
      </c>
      <c r="Z8" s="24" t="s">
        <v>83</v>
      </c>
      <c r="AA8" s="18" t="s">
        <v>143</v>
      </c>
      <c r="AB8" s="30">
        <v>36693</v>
      </c>
      <c r="AC8" s="30">
        <v>36693</v>
      </c>
      <c r="AD8" s="24"/>
      <c r="AE8" s="30">
        <v>41038</v>
      </c>
      <c r="AF8" s="30"/>
      <c r="AG8" s="30">
        <v>41421</v>
      </c>
      <c r="AH8" s="30"/>
      <c r="AI8" s="30">
        <v>36030</v>
      </c>
      <c r="AJ8" s="24"/>
      <c r="AK8" s="24"/>
      <c r="AL8" s="24" t="s">
        <v>144</v>
      </c>
      <c r="AM8" s="18" t="s">
        <v>145</v>
      </c>
      <c r="AN8" s="24" t="s">
        <v>108</v>
      </c>
      <c r="AO8" s="24"/>
      <c r="AP8" s="24" t="s">
        <v>116</v>
      </c>
      <c r="AQ8" s="24" t="s">
        <v>117</v>
      </c>
      <c r="AR8" s="24" t="s">
        <v>146</v>
      </c>
      <c r="AS8" s="24" t="s">
        <v>92</v>
      </c>
      <c r="AT8" s="24" t="s">
        <v>147</v>
      </c>
      <c r="AU8" s="24" t="s">
        <v>118</v>
      </c>
      <c r="AV8" s="24" t="s">
        <v>148</v>
      </c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 t="s">
        <v>149</v>
      </c>
      <c r="BK8" s="24">
        <v>70</v>
      </c>
      <c r="BL8" s="24" t="s">
        <v>150</v>
      </c>
      <c r="BM8" s="24" t="s">
        <v>151</v>
      </c>
      <c r="BN8" s="24" t="s">
        <v>152</v>
      </c>
      <c r="BO8" s="24" t="s">
        <v>121</v>
      </c>
      <c r="BP8" s="24"/>
      <c r="BQ8" s="24" t="s">
        <v>153</v>
      </c>
      <c r="BR8" s="24">
        <v>68</v>
      </c>
      <c r="BS8" s="24" t="s">
        <v>154</v>
      </c>
      <c r="BT8" s="24" t="s">
        <v>155</v>
      </c>
      <c r="BU8" s="24" t="s">
        <v>156</v>
      </c>
      <c r="BV8" s="24" t="s">
        <v>121</v>
      </c>
      <c r="BW8" s="24"/>
      <c r="BX8" s="24" t="s">
        <v>157</v>
      </c>
      <c r="BY8" s="30">
        <v>28346</v>
      </c>
      <c r="BZ8" s="24" t="s">
        <v>140</v>
      </c>
      <c r="CA8" s="24" t="s">
        <v>141</v>
      </c>
      <c r="CB8" s="18" t="s">
        <v>81</v>
      </c>
      <c r="CC8" s="24" t="s">
        <v>121</v>
      </c>
      <c r="CD8" s="24"/>
      <c r="CE8" s="24">
        <v>1</v>
      </c>
      <c r="CF8" s="32">
        <v>92327226</v>
      </c>
      <c r="CG8" s="26"/>
      <c r="CH8" s="24" t="s">
        <v>158</v>
      </c>
      <c r="CI8" s="17"/>
      <c r="CJ8" s="17"/>
      <c r="CK8" s="28" t="s">
        <v>133</v>
      </c>
      <c r="CL8" s="17"/>
    </row>
    <row r="9" spans="1:90" s="29" customFormat="1" ht="22.5" customHeight="1" x14ac:dyDescent="0.35">
      <c r="A9" s="16">
        <v>9</v>
      </c>
      <c r="B9" s="17" t="s">
        <v>69</v>
      </c>
      <c r="C9" s="18" t="s">
        <v>70</v>
      </c>
      <c r="D9" s="19" t="s">
        <v>190</v>
      </c>
      <c r="E9" s="18"/>
      <c r="F9" s="20" t="s">
        <v>191</v>
      </c>
      <c r="G9" s="21" t="s">
        <v>268</v>
      </c>
      <c r="H9" s="18" t="s">
        <v>128</v>
      </c>
      <c r="I9" s="18"/>
      <c r="J9" s="18" t="s">
        <v>122</v>
      </c>
      <c r="K9" s="22">
        <v>26545</v>
      </c>
      <c r="L9" s="22" t="s">
        <v>192</v>
      </c>
      <c r="M9" s="22">
        <v>43734</v>
      </c>
      <c r="N9" s="22"/>
      <c r="O9" s="18" t="s">
        <v>123</v>
      </c>
      <c r="P9" s="18" t="s">
        <v>193</v>
      </c>
      <c r="Q9" s="18" t="s">
        <v>124</v>
      </c>
      <c r="R9" s="18" t="s">
        <v>194</v>
      </c>
      <c r="S9" s="18" t="s">
        <v>195</v>
      </c>
      <c r="T9" s="18" t="s">
        <v>81</v>
      </c>
      <c r="U9" s="31" t="s">
        <v>196</v>
      </c>
      <c r="V9" s="24" t="s">
        <v>197</v>
      </c>
      <c r="W9" s="31" t="s">
        <v>142</v>
      </c>
      <c r="X9" s="24"/>
      <c r="Y9" s="24" t="s">
        <v>82</v>
      </c>
      <c r="Z9" s="24" t="s">
        <v>83</v>
      </c>
      <c r="AA9" s="24" t="s">
        <v>198</v>
      </c>
      <c r="AB9" s="30">
        <v>34525</v>
      </c>
      <c r="AC9" s="30">
        <v>34525</v>
      </c>
      <c r="AD9" s="24"/>
      <c r="AE9" s="30">
        <v>38873</v>
      </c>
      <c r="AF9" s="30"/>
      <c r="AG9" s="30">
        <v>39303</v>
      </c>
      <c r="AH9" s="30"/>
      <c r="AI9" s="30">
        <v>31962</v>
      </c>
      <c r="AJ9" s="30">
        <v>32655</v>
      </c>
      <c r="AK9" s="24"/>
      <c r="AL9" s="18" t="s">
        <v>164</v>
      </c>
      <c r="AM9" s="18" t="s">
        <v>145</v>
      </c>
      <c r="AN9" s="24" t="s">
        <v>87</v>
      </c>
      <c r="AO9" s="24"/>
      <c r="AW9" s="24" t="s">
        <v>116</v>
      </c>
      <c r="AX9" s="24" t="s">
        <v>117</v>
      </c>
      <c r="AY9" s="24" t="s">
        <v>127</v>
      </c>
      <c r="AZ9" s="24" t="s">
        <v>166</v>
      </c>
      <c r="BA9" s="24" t="s">
        <v>199</v>
      </c>
      <c r="BB9" s="24" t="s">
        <v>125</v>
      </c>
      <c r="BC9" s="24" t="s">
        <v>200</v>
      </c>
      <c r="BD9" s="24"/>
      <c r="BE9" s="24"/>
      <c r="BF9" s="24"/>
      <c r="BG9" s="24"/>
      <c r="BH9" s="24"/>
      <c r="BI9" s="24"/>
      <c r="BJ9" s="24" t="s">
        <v>201</v>
      </c>
      <c r="BK9" s="24" t="s">
        <v>101</v>
      </c>
      <c r="BL9" s="24"/>
      <c r="BM9" s="24"/>
      <c r="BN9" s="24"/>
      <c r="BO9" s="24"/>
      <c r="BP9" s="24"/>
      <c r="BQ9" s="24" t="s">
        <v>202</v>
      </c>
      <c r="BR9" s="24" t="s">
        <v>101</v>
      </c>
      <c r="BS9" s="24"/>
      <c r="BT9" s="24"/>
      <c r="BU9" s="24"/>
      <c r="BV9" s="24"/>
      <c r="BW9" s="24"/>
      <c r="BX9" s="24" t="s">
        <v>203</v>
      </c>
      <c r="BY9" s="30">
        <v>24240</v>
      </c>
      <c r="BZ9" s="24" t="s">
        <v>194</v>
      </c>
      <c r="CA9" s="24" t="s">
        <v>195</v>
      </c>
      <c r="CB9" s="24" t="s">
        <v>81</v>
      </c>
      <c r="CC9" s="24" t="s">
        <v>158</v>
      </c>
      <c r="CD9" s="24" t="s">
        <v>204</v>
      </c>
      <c r="CE9" s="24">
        <v>2</v>
      </c>
      <c r="CF9" s="32">
        <v>96862009</v>
      </c>
      <c r="CG9" s="26"/>
      <c r="CH9" s="24" t="s">
        <v>111</v>
      </c>
      <c r="CI9" s="17"/>
      <c r="CJ9" s="17"/>
      <c r="CK9" s="28" t="s">
        <v>190</v>
      </c>
      <c r="CL9" s="17"/>
    </row>
    <row r="10" spans="1:90" s="29" customFormat="1" ht="53.5" customHeight="1" x14ac:dyDescent="0.35">
      <c r="A10" s="16">
        <v>10</v>
      </c>
      <c r="B10" s="17" t="s">
        <v>69</v>
      </c>
      <c r="C10" s="18" t="s">
        <v>70</v>
      </c>
      <c r="D10" s="19" t="s">
        <v>205</v>
      </c>
      <c r="E10" s="18"/>
      <c r="F10" s="20" t="s">
        <v>84</v>
      </c>
      <c r="G10" s="21" t="s">
        <v>268</v>
      </c>
      <c r="H10" s="18" t="s">
        <v>128</v>
      </c>
      <c r="I10" s="18" t="s">
        <v>206</v>
      </c>
      <c r="J10" s="18" t="s">
        <v>74</v>
      </c>
      <c r="K10" s="22">
        <v>27914</v>
      </c>
      <c r="L10" s="22" t="s">
        <v>207</v>
      </c>
      <c r="M10" s="22">
        <v>44615</v>
      </c>
      <c r="N10" s="22"/>
      <c r="O10" s="18" t="s">
        <v>208</v>
      </c>
      <c r="P10" s="18" t="s">
        <v>181</v>
      </c>
      <c r="Q10" s="18" t="s">
        <v>81</v>
      </c>
      <c r="R10" s="18" t="s">
        <v>209</v>
      </c>
      <c r="S10" s="18" t="s">
        <v>181</v>
      </c>
      <c r="T10" s="18" t="s">
        <v>81</v>
      </c>
      <c r="U10" s="31"/>
      <c r="V10" s="24"/>
      <c r="W10" s="31"/>
      <c r="X10" s="24" t="s">
        <v>84</v>
      </c>
      <c r="Y10" s="24" t="s">
        <v>82</v>
      </c>
      <c r="Z10" s="24" t="s">
        <v>83</v>
      </c>
      <c r="AA10" s="24" t="s">
        <v>84</v>
      </c>
      <c r="AB10" s="30">
        <v>38957</v>
      </c>
      <c r="AC10" s="30">
        <v>38957</v>
      </c>
      <c r="AD10" s="24"/>
      <c r="AE10" s="30">
        <v>39983</v>
      </c>
      <c r="AF10" s="30"/>
      <c r="AG10" s="30">
        <v>40351</v>
      </c>
      <c r="AH10" s="30"/>
      <c r="AI10" s="30">
        <v>33239</v>
      </c>
      <c r="AJ10" s="24"/>
      <c r="AK10" s="24"/>
      <c r="AL10" s="24" t="s">
        <v>164</v>
      </c>
      <c r="AM10" s="18" t="s">
        <v>145</v>
      </c>
      <c r="AN10" s="24" t="s">
        <v>108</v>
      </c>
      <c r="AO10" s="24"/>
      <c r="AP10" s="29" t="s">
        <v>210</v>
      </c>
      <c r="AQ10" s="29" t="s">
        <v>117</v>
      </c>
      <c r="AR10" s="29" t="s">
        <v>211</v>
      </c>
      <c r="AS10" s="29" t="s">
        <v>98</v>
      </c>
      <c r="AT10" s="29" t="s">
        <v>212</v>
      </c>
      <c r="AU10" s="29" t="s">
        <v>213</v>
      </c>
      <c r="AV10" s="29">
        <v>2019</v>
      </c>
      <c r="AW10" s="24" t="s">
        <v>116</v>
      </c>
      <c r="AX10" s="24" t="s">
        <v>117</v>
      </c>
      <c r="AY10" s="24" t="s">
        <v>214</v>
      </c>
      <c r="AZ10" s="24" t="s">
        <v>92</v>
      </c>
      <c r="BA10" s="24" t="s">
        <v>169</v>
      </c>
      <c r="BB10" s="24" t="s">
        <v>125</v>
      </c>
      <c r="BC10" s="24" t="s">
        <v>215</v>
      </c>
      <c r="BD10" s="24"/>
      <c r="BE10" s="24"/>
      <c r="BF10" s="24"/>
      <c r="BG10" s="24"/>
      <c r="BH10" s="24"/>
      <c r="BI10" s="24"/>
      <c r="BJ10" s="24" t="s">
        <v>216</v>
      </c>
      <c r="BK10" s="24" t="s">
        <v>101</v>
      </c>
      <c r="BL10" s="24"/>
      <c r="BM10" s="24"/>
      <c r="BN10" s="24"/>
      <c r="BO10" s="24"/>
      <c r="BP10" s="24"/>
      <c r="BQ10" s="24" t="s">
        <v>217</v>
      </c>
      <c r="BR10" s="24" t="s">
        <v>101</v>
      </c>
      <c r="BS10" s="24"/>
      <c r="BT10" s="24"/>
      <c r="BU10" s="24"/>
      <c r="BV10" s="24"/>
      <c r="BW10" s="24"/>
      <c r="BX10" s="24" t="s">
        <v>218</v>
      </c>
      <c r="BY10" s="30">
        <v>29281</v>
      </c>
      <c r="BZ10" s="24" t="s">
        <v>209</v>
      </c>
      <c r="CA10" s="24" t="s">
        <v>181</v>
      </c>
      <c r="CB10" s="24" t="s">
        <v>81</v>
      </c>
      <c r="CC10" s="24" t="s">
        <v>104</v>
      </c>
      <c r="CD10" s="24"/>
      <c r="CE10" s="24">
        <v>3</v>
      </c>
      <c r="CF10" s="32">
        <v>95419545</v>
      </c>
      <c r="CG10" s="26"/>
      <c r="CH10" s="24" t="s">
        <v>111</v>
      </c>
      <c r="CI10" s="17"/>
      <c r="CJ10" s="17"/>
      <c r="CK10" s="28" t="s">
        <v>205</v>
      </c>
      <c r="CL10" s="17"/>
    </row>
    <row r="11" spans="1:90" s="29" customFormat="1" ht="29" customHeight="1" x14ac:dyDescent="0.35">
      <c r="A11" s="16">
        <v>11</v>
      </c>
      <c r="B11" s="17" t="s">
        <v>69</v>
      </c>
      <c r="C11" s="18" t="s">
        <v>70</v>
      </c>
      <c r="D11" s="19" t="s">
        <v>219</v>
      </c>
      <c r="E11" s="18"/>
      <c r="F11" s="20" t="s">
        <v>84</v>
      </c>
      <c r="G11" s="21" t="s">
        <v>268</v>
      </c>
      <c r="H11" s="18" t="s">
        <v>128</v>
      </c>
      <c r="I11" s="18"/>
      <c r="J11" s="18" t="s">
        <v>74</v>
      </c>
      <c r="K11" s="22">
        <v>27154</v>
      </c>
      <c r="L11" s="22" t="s">
        <v>220</v>
      </c>
      <c r="M11" s="22">
        <v>41967</v>
      </c>
      <c r="N11" s="22"/>
      <c r="O11" s="18" t="s">
        <v>221</v>
      </c>
      <c r="P11" s="18" t="s">
        <v>112</v>
      </c>
      <c r="Q11" s="18" t="s">
        <v>113</v>
      </c>
      <c r="R11" s="18" t="s">
        <v>222</v>
      </c>
      <c r="S11" s="18" t="s">
        <v>223</v>
      </c>
      <c r="T11" s="18" t="s">
        <v>81</v>
      </c>
      <c r="U11" s="23" t="s">
        <v>224</v>
      </c>
      <c r="V11" s="18" t="s">
        <v>225</v>
      </c>
      <c r="W11" s="23"/>
      <c r="X11" s="18" t="s">
        <v>226</v>
      </c>
      <c r="Y11" s="18" t="s">
        <v>227</v>
      </c>
      <c r="Z11" s="18" t="s">
        <v>83</v>
      </c>
      <c r="AA11" s="18" t="s">
        <v>228</v>
      </c>
      <c r="AB11" s="22">
        <v>34190</v>
      </c>
      <c r="AC11" s="22">
        <v>34190</v>
      </c>
      <c r="AD11" s="18"/>
      <c r="AE11" s="22">
        <v>36381</v>
      </c>
      <c r="AF11" s="22"/>
      <c r="AG11" s="22">
        <v>36895</v>
      </c>
      <c r="AH11" s="22"/>
      <c r="AI11" s="22">
        <v>32956</v>
      </c>
      <c r="AJ11" s="18"/>
      <c r="AK11" s="18"/>
      <c r="AL11" s="18" t="s">
        <v>164</v>
      </c>
      <c r="AM11" s="18" t="s">
        <v>145</v>
      </c>
      <c r="AN11" s="18" t="s">
        <v>108</v>
      </c>
      <c r="AO11" s="18" t="s">
        <v>109</v>
      </c>
      <c r="AP11" s="18" t="s">
        <v>130</v>
      </c>
      <c r="AQ11" s="18" t="s">
        <v>117</v>
      </c>
      <c r="AR11" s="18" t="s">
        <v>165</v>
      </c>
      <c r="AS11" s="18" t="s">
        <v>166</v>
      </c>
      <c r="AT11" s="18" t="s">
        <v>167</v>
      </c>
      <c r="AU11" s="18" t="s">
        <v>125</v>
      </c>
      <c r="AV11" s="18" t="s">
        <v>229</v>
      </c>
      <c r="AW11" s="18"/>
      <c r="AX11" s="18"/>
      <c r="AY11" s="18"/>
      <c r="AZ11" s="18"/>
      <c r="BA11" s="18"/>
      <c r="BB11" s="18"/>
      <c r="BC11" s="18"/>
      <c r="BD11" s="18" t="s">
        <v>96</v>
      </c>
      <c r="BE11" s="18" t="s">
        <v>119</v>
      </c>
      <c r="BF11" s="18" t="s">
        <v>98</v>
      </c>
      <c r="BG11" s="18" t="s">
        <v>230</v>
      </c>
      <c r="BH11" s="18" t="s">
        <v>120</v>
      </c>
      <c r="BI11" s="18">
        <v>2015</v>
      </c>
      <c r="BJ11" s="18" t="s">
        <v>231</v>
      </c>
      <c r="BK11" s="18" t="s">
        <v>101</v>
      </c>
      <c r="BL11" s="18"/>
      <c r="BM11" s="18"/>
      <c r="BN11" s="18"/>
      <c r="BO11" s="18"/>
      <c r="BP11" s="18"/>
      <c r="BQ11" s="18" t="s">
        <v>232</v>
      </c>
      <c r="BR11" s="18" t="s">
        <v>101</v>
      </c>
      <c r="BS11" s="18"/>
      <c r="BT11" s="18"/>
      <c r="BU11" s="18"/>
      <c r="BV11" s="18"/>
      <c r="BW11" s="18"/>
      <c r="BX11" s="18" t="s">
        <v>233</v>
      </c>
      <c r="BY11" s="22">
        <v>26333</v>
      </c>
      <c r="BZ11" s="18" t="s">
        <v>222</v>
      </c>
      <c r="CA11" s="18" t="s">
        <v>223</v>
      </c>
      <c r="CB11" s="18" t="s">
        <v>81</v>
      </c>
      <c r="CC11" s="18" t="s">
        <v>234</v>
      </c>
      <c r="CD11" s="18"/>
      <c r="CE11" s="18">
        <v>3</v>
      </c>
      <c r="CF11" s="25">
        <v>55112235</v>
      </c>
      <c r="CG11" s="26"/>
      <c r="CH11" s="24" t="s">
        <v>91</v>
      </c>
      <c r="CI11" s="17"/>
      <c r="CJ11" s="17"/>
      <c r="CK11" s="28" t="s">
        <v>219</v>
      </c>
      <c r="CL11" s="17"/>
    </row>
    <row r="12" spans="1:90" s="29" customFormat="1" ht="57.5" customHeight="1" x14ac:dyDescent="0.35">
      <c r="A12" s="16">
        <v>12</v>
      </c>
      <c r="B12" s="17" t="s">
        <v>69</v>
      </c>
      <c r="C12" s="18" t="s">
        <v>70</v>
      </c>
      <c r="D12" s="19" t="s">
        <v>235</v>
      </c>
      <c r="E12" s="18"/>
      <c r="F12" s="20" t="s">
        <v>236</v>
      </c>
      <c r="G12" s="21" t="s">
        <v>268</v>
      </c>
      <c r="H12" s="18" t="s">
        <v>128</v>
      </c>
      <c r="I12" s="18"/>
      <c r="J12" s="18" t="s">
        <v>74</v>
      </c>
      <c r="K12" s="22">
        <v>30560</v>
      </c>
      <c r="L12" s="22" t="s">
        <v>129</v>
      </c>
      <c r="M12" s="22">
        <v>44615</v>
      </c>
      <c r="N12" s="22"/>
      <c r="O12" s="18" t="s">
        <v>237</v>
      </c>
      <c r="P12" s="18" t="s">
        <v>106</v>
      </c>
      <c r="Q12" s="18" t="s">
        <v>81</v>
      </c>
      <c r="R12" s="18" t="s">
        <v>237</v>
      </c>
      <c r="S12" s="18" t="s">
        <v>106</v>
      </c>
      <c r="T12" s="18" t="s">
        <v>81</v>
      </c>
      <c r="U12" s="23" t="s">
        <v>238</v>
      </c>
      <c r="V12" s="18"/>
      <c r="W12" s="23"/>
      <c r="X12" s="18" t="s">
        <v>239</v>
      </c>
      <c r="Y12" s="18" t="s">
        <v>82</v>
      </c>
      <c r="Z12" s="18" t="s">
        <v>83</v>
      </c>
      <c r="AA12" s="18" t="s">
        <v>240</v>
      </c>
      <c r="AB12" s="22">
        <v>38745</v>
      </c>
      <c r="AC12" s="22">
        <v>38745</v>
      </c>
      <c r="AD12" s="18"/>
      <c r="AE12" s="22">
        <v>40436</v>
      </c>
      <c r="AF12" s="22"/>
      <c r="AG12" s="22">
        <v>40892</v>
      </c>
      <c r="AH12" s="22"/>
      <c r="AI12" s="22"/>
      <c r="AJ12" s="18"/>
      <c r="AK12" s="18"/>
      <c r="AL12" s="18" t="s">
        <v>164</v>
      </c>
      <c r="AM12" s="18" t="s">
        <v>241</v>
      </c>
      <c r="AN12" s="18" t="s">
        <v>108</v>
      </c>
      <c r="AO12" s="18" t="s">
        <v>115</v>
      </c>
      <c r="AP12" s="18" t="s">
        <v>130</v>
      </c>
      <c r="AQ12" s="18" t="s">
        <v>117</v>
      </c>
      <c r="AR12" s="18" t="s">
        <v>242</v>
      </c>
      <c r="AS12" s="18" t="s">
        <v>166</v>
      </c>
      <c r="AT12" s="18" t="s">
        <v>243</v>
      </c>
      <c r="AU12" s="18" t="s">
        <v>125</v>
      </c>
      <c r="AV12" s="18" t="s">
        <v>131</v>
      </c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 t="s">
        <v>244</v>
      </c>
      <c r="BK12" s="18">
        <v>66</v>
      </c>
      <c r="BL12" s="18" t="s">
        <v>237</v>
      </c>
      <c r="BM12" s="18" t="s">
        <v>106</v>
      </c>
      <c r="BN12" s="18" t="s">
        <v>81</v>
      </c>
      <c r="BO12" s="18" t="s">
        <v>121</v>
      </c>
      <c r="BP12" s="18"/>
      <c r="BQ12" s="18" t="s">
        <v>245</v>
      </c>
      <c r="BR12" s="18">
        <v>61</v>
      </c>
      <c r="BS12" s="18" t="s">
        <v>237</v>
      </c>
      <c r="BT12" s="18" t="s">
        <v>106</v>
      </c>
      <c r="BU12" s="18" t="s">
        <v>81</v>
      </c>
      <c r="BV12" s="18" t="s">
        <v>121</v>
      </c>
      <c r="BW12" s="18"/>
      <c r="BX12" s="18" t="s">
        <v>246</v>
      </c>
      <c r="BY12" s="22">
        <v>35687</v>
      </c>
      <c r="BZ12" s="18" t="s">
        <v>237</v>
      </c>
      <c r="CA12" s="18" t="s">
        <v>106</v>
      </c>
      <c r="CB12" s="18" t="s">
        <v>81</v>
      </c>
      <c r="CC12" s="18" t="s">
        <v>110</v>
      </c>
      <c r="CD12" s="18" t="s">
        <v>247</v>
      </c>
      <c r="CE12" s="18">
        <v>3</v>
      </c>
      <c r="CF12" s="25">
        <v>95202870</v>
      </c>
      <c r="CG12" s="26"/>
      <c r="CH12" s="24" t="s">
        <v>111</v>
      </c>
      <c r="CI12" s="17"/>
      <c r="CJ12" s="17"/>
      <c r="CK12" s="28" t="s">
        <v>235</v>
      </c>
      <c r="CL12" s="17"/>
    </row>
    <row r="13" spans="1:90" x14ac:dyDescent="0.35">
      <c r="D13" s="38"/>
    </row>
    <row r="14" spans="1:90" x14ac:dyDescent="0.35">
      <c r="D14" s="38"/>
    </row>
    <row r="15" spans="1:90" x14ac:dyDescent="0.35">
      <c r="D15" s="38"/>
    </row>
    <row r="16" spans="1:90" x14ac:dyDescent="0.35">
      <c r="D16" s="38"/>
    </row>
    <row r="17" spans="4:4" x14ac:dyDescent="0.35">
      <c r="D17" s="38"/>
    </row>
    <row r="18" spans="4:4" x14ac:dyDescent="0.35">
      <c r="D18" s="38"/>
    </row>
  </sheetData>
  <mergeCells count="9">
    <mergeCell ref="BJ2:BP2"/>
    <mergeCell ref="BQ2:BW2"/>
    <mergeCell ref="BX2:CD2"/>
    <mergeCell ref="B2:E2"/>
    <mergeCell ref="O2:Q2"/>
    <mergeCell ref="R2:T2"/>
    <mergeCell ref="AP2:AV2"/>
    <mergeCell ref="AW2:BC2"/>
    <mergeCell ref="BD2:BI2"/>
  </mergeCells>
  <conditionalFormatting sqref="G5:G12">
    <cfRule type="duplicateValues" dxfId="2" priority="5"/>
  </conditionalFormatting>
  <pageMargins left="0.7" right="0.7" top="0.75" bottom="0.75" header="0.3" footer="0.3"/>
  <pageSetup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E739-0FD9-4EFC-B648-FAC54BA9A571}">
  <dimension ref="A1:Z35"/>
  <sheetViews>
    <sheetView topLeftCell="J7" workbookViewId="0">
      <selection activeCell="N12" sqref="N12"/>
    </sheetView>
  </sheetViews>
  <sheetFormatPr defaultColWidth="8.81640625" defaultRowHeight="18.5" x14ac:dyDescent="0.6"/>
  <cols>
    <col min="1" max="1" width="3.81640625" style="39" bestFit="1" customWidth="1"/>
    <col min="2" max="2" width="3.81640625" style="40" bestFit="1" customWidth="1"/>
    <col min="3" max="3" width="11.7265625" style="41" customWidth="1"/>
    <col min="4" max="4" width="19" style="39" customWidth="1"/>
    <col min="5" max="5" width="4.453125" style="42" bestFit="1" customWidth="1"/>
    <col min="6" max="6" width="9.7265625" style="39" bestFit="1" customWidth="1"/>
    <col min="7" max="7" width="9.1796875" style="39" bestFit="1" customWidth="1"/>
    <col min="8" max="8" width="3.453125" style="39" customWidth="1"/>
    <col min="9" max="9" width="3.54296875" style="39" customWidth="1"/>
    <col min="10" max="10" width="9.81640625" style="39" bestFit="1" customWidth="1"/>
    <col min="11" max="11" width="11.7265625" style="39" bestFit="1" customWidth="1"/>
    <col min="12" max="13" width="9.7265625" style="39" bestFit="1" customWidth="1"/>
    <col min="14" max="14" width="9.453125" style="39" bestFit="1" customWidth="1"/>
    <col min="15" max="15" width="9.7265625" style="39" bestFit="1" customWidth="1"/>
    <col min="16" max="18" width="9.54296875" style="39" bestFit="1" customWidth="1"/>
    <col min="19" max="19" width="12.453125" style="39" customWidth="1"/>
    <col min="20" max="20" width="10.26953125" style="39" customWidth="1"/>
    <col min="21" max="21" width="6.453125" style="39" customWidth="1"/>
    <col min="22" max="22" width="6.453125" style="39" bestFit="1" customWidth="1"/>
    <col min="23" max="23" width="5.81640625" style="39" customWidth="1"/>
    <col min="24" max="24" width="9.453125" style="39" bestFit="1" customWidth="1"/>
    <col min="25" max="25" width="16" style="39" customWidth="1"/>
    <col min="26" max="16384" width="8.81640625" style="39"/>
  </cols>
  <sheetData>
    <row r="1" spans="1:26" x14ac:dyDescent="0.6"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x14ac:dyDescent="0.6"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x14ac:dyDescent="0.6"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6">
      <c r="D4" s="44"/>
      <c r="E4" s="45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x14ac:dyDescent="0.6">
      <c r="A5" s="117" t="s">
        <v>269</v>
      </c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</row>
    <row r="6" spans="1:26" x14ac:dyDescent="0.6">
      <c r="A6" s="117" t="s">
        <v>270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47"/>
    </row>
    <row r="7" spans="1:26" x14ac:dyDescent="0.6">
      <c r="A7" s="39" t="s">
        <v>271</v>
      </c>
      <c r="C7" s="48"/>
      <c r="D7" s="48"/>
      <c r="E7" s="48"/>
      <c r="F7" s="48"/>
      <c r="G7" s="48"/>
      <c r="H7" s="48"/>
      <c r="I7" s="48"/>
      <c r="J7" s="48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6">
      <c r="A8" s="39" t="s">
        <v>272</v>
      </c>
      <c r="C8" s="39"/>
      <c r="E8" s="39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Y8" s="49" t="s">
        <v>273</v>
      </c>
    </row>
    <row r="9" spans="1:26" x14ac:dyDescent="0.6">
      <c r="D9" s="43"/>
      <c r="E9" s="50"/>
      <c r="F9" s="43"/>
      <c r="G9" s="43"/>
      <c r="H9" s="43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51"/>
      <c r="U9" s="51"/>
      <c r="V9" s="51"/>
      <c r="W9" s="51"/>
      <c r="Y9" s="52" t="s">
        <v>274</v>
      </c>
      <c r="Z9" s="51"/>
    </row>
    <row r="10" spans="1:26" ht="21.5" x14ac:dyDescent="0.7">
      <c r="A10" s="118" t="s">
        <v>275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53"/>
    </row>
    <row r="11" spans="1:26" ht="34.5" customHeight="1" x14ac:dyDescent="0.6">
      <c r="A11" s="119" t="s">
        <v>10</v>
      </c>
      <c r="B11" s="116" t="s">
        <v>10</v>
      </c>
      <c r="C11" s="120" t="s">
        <v>276</v>
      </c>
      <c r="D11" s="116" t="s">
        <v>16</v>
      </c>
      <c r="E11" s="122" t="s">
        <v>277</v>
      </c>
      <c r="F11" s="123"/>
      <c r="G11" s="110" t="s">
        <v>278</v>
      </c>
      <c r="H11" s="108" t="s">
        <v>279</v>
      </c>
      <c r="I11" s="108" t="s">
        <v>280</v>
      </c>
      <c r="J11" s="108" t="s">
        <v>281</v>
      </c>
      <c r="K11" s="116" t="s">
        <v>282</v>
      </c>
      <c r="L11" s="116"/>
      <c r="M11" s="116"/>
      <c r="N11" s="116" t="s">
        <v>283</v>
      </c>
      <c r="O11" s="116"/>
      <c r="P11" s="116"/>
      <c r="Q11" s="116"/>
      <c r="R11" s="116"/>
      <c r="S11" s="116" t="s">
        <v>284</v>
      </c>
      <c r="T11" s="116"/>
      <c r="U11" s="108" t="s">
        <v>285</v>
      </c>
      <c r="V11" s="108" t="s">
        <v>286</v>
      </c>
      <c r="W11" s="108" t="s">
        <v>287</v>
      </c>
      <c r="X11" s="110" t="s">
        <v>63</v>
      </c>
      <c r="Y11" s="110" t="s">
        <v>64</v>
      </c>
    </row>
    <row r="12" spans="1:26" ht="34.5" customHeight="1" x14ac:dyDescent="0.6">
      <c r="A12" s="119"/>
      <c r="B12" s="116"/>
      <c r="C12" s="121"/>
      <c r="D12" s="116"/>
      <c r="E12" s="54" t="s">
        <v>17</v>
      </c>
      <c r="F12" s="55" t="s">
        <v>288</v>
      </c>
      <c r="G12" s="111"/>
      <c r="H12" s="109"/>
      <c r="I12" s="109"/>
      <c r="J12" s="109"/>
      <c r="K12" s="54" t="s">
        <v>27</v>
      </c>
      <c r="L12" s="54" t="s">
        <v>25</v>
      </c>
      <c r="M12" s="54" t="s">
        <v>26</v>
      </c>
      <c r="N12" s="54" t="s">
        <v>289</v>
      </c>
      <c r="O12" s="54" t="s">
        <v>290</v>
      </c>
      <c r="P12" s="54" t="s">
        <v>291</v>
      </c>
      <c r="Q12" s="54" t="s">
        <v>292</v>
      </c>
      <c r="R12" s="54" t="s">
        <v>293</v>
      </c>
      <c r="S12" s="54" t="s">
        <v>294</v>
      </c>
      <c r="T12" s="54" t="s">
        <v>295</v>
      </c>
      <c r="U12" s="109"/>
      <c r="V12" s="109"/>
      <c r="W12" s="109"/>
      <c r="X12" s="111"/>
      <c r="Y12" s="111"/>
    </row>
    <row r="13" spans="1:26" x14ac:dyDescent="0.6">
      <c r="A13" s="57">
        <v>1</v>
      </c>
      <c r="B13" s="58">
        <v>1</v>
      </c>
      <c r="C13" s="112" t="s">
        <v>296</v>
      </c>
      <c r="D13" s="59" t="s">
        <v>312</v>
      </c>
      <c r="E13" s="60" t="s">
        <v>72</v>
      </c>
      <c r="F13" s="61"/>
      <c r="G13" s="61"/>
      <c r="H13" s="61"/>
      <c r="I13" s="61"/>
      <c r="J13" s="61"/>
      <c r="K13" s="61"/>
      <c r="L13" s="61"/>
      <c r="M13" s="61"/>
      <c r="N13" s="61"/>
      <c r="O13" s="61">
        <v>28015</v>
      </c>
      <c r="P13" s="61"/>
      <c r="Q13" s="61">
        <v>32554</v>
      </c>
      <c r="R13" s="61">
        <v>33040</v>
      </c>
      <c r="S13" s="61"/>
      <c r="T13" s="61"/>
      <c r="U13" s="61"/>
      <c r="V13" s="61"/>
      <c r="W13" s="61"/>
      <c r="X13" s="61"/>
      <c r="Y13" s="60" t="s">
        <v>91</v>
      </c>
      <c r="Z13" s="64"/>
    </row>
    <row r="14" spans="1:26" x14ac:dyDescent="0.6">
      <c r="A14" s="57">
        <v>2</v>
      </c>
      <c r="B14" s="58">
        <v>2</v>
      </c>
      <c r="C14" s="113"/>
      <c r="D14" s="59" t="s">
        <v>312</v>
      </c>
      <c r="E14" s="60" t="s">
        <v>105</v>
      </c>
      <c r="F14" s="61"/>
      <c r="G14" s="61"/>
      <c r="H14" s="61"/>
      <c r="I14" s="61"/>
      <c r="J14" s="61"/>
      <c r="K14" s="61"/>
      <c r="L14" s="61"/>
      <c r="M14" s="61"/>
      <c r="N14" s="61"/>
      <c r="O14" s="61">
        <v>34526</v>
      </c>
      <c r="P14" s="61"/>
      <c r="Q14" s="61">
        <v>39210</v>
      </c>
      <c r="R14" s="61">
        <v>39735</v>
      </c>
      <c r="S14" s="61"/>
      <c r="T14" s="61"/>
      <c r="U14" s="61"/>
      <c r="V14" s="61"/>
      <c r="W14" s="61"/>
      <c r="X14" s="61"/>
      <c r="Y14" s="60" t="s">
        <v>111</v>
      </c>
      <c r="Z14" s="64"/>
    </row>
    <row r="15" spans="1:26" x14ac:dyDescent="0.6">
      <c r="A15" s="57">
        <v>6</v>
      </c>
      <c r="B15" s="65">
        <v>1</v>
      </c>
      <c r="C15" s="114" t="s">
        <v>297</v>
      </c>
      <c r="D15" s="59" t="s">
        <v>312</v>
      </c>
      <c r="E15" s="60" t="s">
        <v>128</v>
      </c>
      <c r="F15" s="61"/>
      <c r="G15" s="61"/>
      <c r="H15" s="61"/>
      <c r="I15" s="61"/>
      <c r="J15" s="61"/>
      <c r="K15" s="61"/>
      <c r="L15" s="61"/>
      <c r="M15" s="61"/>
      <c r="N15" s="61"/>
      <c r="O15" s="61">
        <v>41177</v>
      </c>
      <c r="P15" s="61"/>
      <c r="Q15" s="61">
        <v>41754</v>
      </c>
      <c r="R15" s="61">
        <v>42213</v>
      </c>
      <c r="S15" s="61"/>
      <c r="T15" s="61"/>
      <c r="U15" s="61"/>
      <c r="V15" s="61"/>
      <c r="W15" s="61"/>
      <c r="X15" s="61"/>
      <c r="Y15" s="60" t="s">
        <v>111</v>
      </c>
      <c r="Z15" s="64"/>
    </row>
    <row r="16" spans="1:26" x14ac:dyDescent="0.6">
      <c r="A16" s="57">
        <v>7</v>
      </c>
      <c r="B16" s="65">
        <v>2</v>
      </c>
      <c r="C16" s="115"/>
      <c r="D16" s="59" t="s">
        <v>312</v>
      </c>
      <c r="E16" s="60" t="s">
        <v>250</v>
      </c>
      <c r="F16" s="61"/>
      <c r="G16" s="61"/>
      <c r="H16" s="61"/>
      <c r="I16" s="61"/>
      <c r="J16" s="61"/>
      <c r="K16" s="61"/>
      <c r="L16" s="61"/>
      <c r="M16" s="61"/>
      <c r="N16" s="61"/>
      <c r="O16" s="61">
        <v>38045</v>
      </c>
      <c r="P16" s="61"/>
      <c r="Q16" s="61">
        <v>40795</v>
      </c>
      <c r="R16" s="61">
        <v>41300</v>
      </c>
      <c r="S16" s="61"/>
      <c r="T16" s="61"/>
      <c r="U16" s="61"/>
      <c r="V16" s="61"/>
      <c r="W16" s="61"/>
      <c r="X16" s="61"/>
      <c r="Y16" s="60" t="s">
        <v>158</v>
      </c>
    </row>
    <row r="17" spans="1:25" x14ac:dyDescent="0.6">
      <c r="A17" s="57">
        <v>8</v>
      </c>
      <c r="B17" s="65">
        <v>3</v>
      </c>
      <c r="C17" s="115"/>
      <c r="D17" s="59" t="s">
        <v>312</v>
      </c>
      <c r="E17" s="60" t="s">
        <v>250</v>
      </c>
      <c r="F17" s="61"/>
      <c r="G17" s="61"/>
      <c r="H17" s="61"/>
      <c r="I17" s="61"/>
      <c r="J17" s="61"/>
      <c r="K17" s="61"/>
      <c r="L17" s="61"/>
      <c r="M17" s="61"/>
      <c r="N17" s="61"/>
      <c r="O17" s="61">
        <v>38139</v>
      </c>
      <c r="P17" s="61"/>
      <c r="Q17" s="61">
        <v>42516</v>
      </c>
      <c r="R17" s="61">
        <v>42892</v>
      </c>
      <c r="S17" s="61"/>
      <c r="T17" s="61"/>
      <c r="U17" s="61"/>
      <c r="V17" s="61"/>
      <c r="W17" s="61"/>
      <c r="X17" s="61"/>
      <c r="Y17" s="60" t="s">
        <v>111</v>
      </c>
    </row>
    <row r="18" spans="1:25" x14ac:dyDescent="0.6">
      <c r="A18" s="57">
        <v>24</v>
      </c>
      <c r="B18" s="58">
        <v>1</v>
      </c>
      <c r="C18" s="107" t="s">
        <v>300</v>
      </c>
      <c r="D18" s="59" t="s">
        <v>312</v>
      </c>
      <c r="E18" s="60" t="s">
        <v>128</v>
      </c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>
        <v>41207</v>
      </c>
      <c r="R18" s="61">
        <v>41684</v>
      </c>
      <c r="S18" s="61"/>
      <c r="T18" s="61"/>
      <c r="U18" s="61"/>
      <c r="V18" s="61"/>
      <c r="W18" s="61"/>
      <c r="X18" s="61"/>
      <c r="Y18" s="60" t="s">
        <v>91</v>
      </c>
    </row>
    <row r="19" spans="1:25" x14ac:dyDescent="0.6">
      <c r="A19" s="57">
        <v>25</v>
      </c>
      <c r="B19" s="58">
        <v>2</v>
      </c>
      <c r="C19" s="107"/>
      <c r="D19" s="59" t="s">
        <v>312</v>
      </c>
      <c r="E19" s="60" t="s">
        <v>250</v>
      </c>
      <c r="F19" s="61"/>
      <c r="G19" s="61"/>
      <c r="H19" s="61"/>
      <c r="I19" s="61"/>
      <c r="J19" s="61"/>
      <c r="K19" s="61"/>
      <c r="L19" s="61"/>
      <c r="M19" s="61"/>
      <c r="N19" s="61"/>
      <c r="O19" s="61">
        <v>37665</v>
      </c>
      <c r="P19" s="61">
        <v>38698</v>
      </c>
      <c r="Q19" s="61">
        <v>42590</v>
      </c>
      <c r="R19" s="61">
        <v>42961</v>
      </c>
      <c r="S19" s="61"/>
      <c r="T19" s="61"/>
      <c r="U19" s="61"/>
      <c r="V19" s="61"/>
      <c r="W19" s="61"/>
      <c r="X19" s="61"/>
      <c r="Y19" s="60" t="s">
        <v>111</v>
      </c>
    </row>
    <row r="20" spans="1:25" x14ac:dyDescent="0.6">
      <c r="A20" s="57">
        <v>26</v>
      </c>
      <c r="B20" s="58">
        <v>3</v>
      </c>
      <c r="C20" s="107"/>
      <c r="D20" s="59" t="s">
        <v>312</v>
      </c>
      <c r="E20" s="60" t="s">
        <v>250</v>
      </c>
      <c r="F20" s="61"/>
      <c r="G20" s="61"/>
      <c r="H20" s="61"/>
      <c r="I20" s="61"/>
      <c r="J20" s="61"/>
      <c r="K20" s="61"/>
      <c r="L20" s="61"/>
      <c r="M20" s="61"/>
      <c r="N20" s="61"/>
      <c r="O20" s="61">
        <v>36437</v>
      </c>
      <c r="P20" s="61"/>
      <c r="Q20" s="61">
        <v>41394</v>
      </c>
      <c r="R20" s="61">
        <v>41799</v>
      </c>
      <c r="S20" s="61"/>
      <c r="T20" s="61"/>
      <c r="U20" s="61"/>
      <c r="V20" s="61"/>
      <c r="W20" s="61"/>
      <c r="X20" s="61"/>
      <c r="Y20" s="60" t="s">
        <v>301</v>
      </c>
    </row>
    <row r="21" spans="1:25" x14ac:dyDescent="0.6">
      <c r="A21" s="57">
        <v>32</v>
      </c>
      <c r="B21" s="65">
        <v>1</v>
      </c>
      <c r="C21" s="112" t="s">
        <v>302</v>
      </c>
      <c r="D21" s="59" t="s">
        <v>312</v>
      </c>
      <c r="E21" s="60" t="s">
        <v>128</v>
      </c>
      <c r="F21" s="61"/>
      <c r="G21" s="61"/>
      <c r="H21" s="61"/>
      <c r="I21" s="61"/>
      <c r="J21" s="61"/>
      <c r="K21" s="61"/>
      <c r="L21" s="61"/>
      <c r="M21" s="61"/>
      <c r="N21" s="61"/>
      <c r="O21" s="61">
        <v>36030</v>
      </c>
      <c r="P21" s="61"/>
      <c r="Q21" s="61">
        <v>41038</v>
      </c>
      <c r="R21" s="61">
        <v>41421</v>
      </c>
      <c r="S21" s="61"/>
      <c r="T21" s="61"/>
      <c r="U21" s="61"/>
      <c r="V21" s="61"/>
      <c r="W21" s="61"/>
      <c r="X21" s="61"/>
      <c r="Y21" s="60" t="s">
        <v>158</v>
      </c>
    </row>
    <row r="22" spans="1:25" x14ac:dyDescent="0.6">
      <c r="A22" s="57">
        <v>33</v>
      </c>
      <c r="B22" s="65">
        <v>2</v>
      </c>
      <c r="C22" s="113"/>
      <c r="D22" s="59" t="s">
        <v>312</v>
      </c>
      <c r="E22" s="60" t="s">
        <v>250</v>
      </c>
      <c r="F22" s="61"/>
      <c r="G22" s="61"/>
      <c r="H22" s="61"/>
      <c r="I22" s="61"/>
      <c r="J22" s="61"/>
      <c r="K22" s="61"/>
      <c r="L22" s="61"/>
      <c r="M22" s="61"/>
      <c r="N22" s="61"/>
      <c r="O22" s="61">
        <v>38357</v>
      </c>
      <c r="P22" s="61"/>
      <c r="Q22" s="61">
        <v>42632</v>
      </c>
      <c r="R22" s="61">
        <v>43024</v>
      </c>
      <c r="S22" s="61"/>
      <c r="T22" s="61"/>
      <c r="U22" s="61"/>
      <c r="V22" s="61"/>
      <c r="W22" s="61"/>
      <c r="X22" s="61"/>
      <c r="Y22" s="60" t="s">
        <v>91</v>
      </c>
    </row>
    <row r="23" spans="1:25" x14ac:dyDescent="0.6">
      <c r="A23" s="57">
        <v>34</v>
      </c>
      <c r="B23" s="65">
        <v>3</v>
      </c>
      <c r="C23" s="113"/>
      <c r="D23" s="59" t="s">
        <v>312</v>
      </c>
      <c r="E23" s="60" t="s">
        <v>253</v>
      </c>
      <c r="F23" s="61"/>
      <c r="G23" s="61"/>
      <c r="H23" s="61"/>
      <c r="I23" s="61"/>
      <c r="J23" s="61"/>
      <c r="K23" s="61"/>
      <c r="L23" s="61"/>
      <c r="M23" s="61"/>
      <c r="N23" s="61"/>
      <c r="O23" s="61">
        <v>41774</v>
      </c>
      <c r="P23" s="61"/>
      <c r="Q23" s="61">
        <v>43053</v>
      </c>
      <c r="R23" s="61">
        <v>43433</v>
      </c>
      <c r="S23" s="61"/>
      <c r="T23" s="61"/>
      <c r="U23" s="61"/>
      <c r="V23" s="61"/>
      <c r="W23" s="61"/>
      <c r="X23" s="61"/>
      <c r="Y23" s="60" t="s">
        <v>91</v>
      </c>
    </row>
    <row r="24" spans="1:25" x14ac:dyDescent="0.6">
      <c r="A24" s="57">
        <v>74</v>
      </c>
      <c r="B24" s="58">
        <v>1</v>
      </c>
      <c r="C24" s="112" t="s">
        <v>260</v>
      </c>
      <c r="D24" s="59" t="s">
        <v>312</v>
      </c>
      <c r="E24" s="60" t="s">
        <v>128</v>
      </c>
      <c r="F24" s="61"/>
      <c r="G24" s="61"/>
      <c r="H24" s="61"/>
      <c r="I24" s="61"/>
      <c r="J24" s="61"/>
      <c r="K24" s="61"/>
      <c r="L24" s="61"/>
      <c r="M24" s="61"/>
      <c r="N24" s="61"/>
      <c r="O24" s="61">
        <v>31962</v>
      </c>
      <c r="P24" s="61">
        <v>32655</v>
      </c>
      <c r="Q24" s="61">
        <v>38873</v>
      </c>
      <c r="R24" s="61">
        <v>39303</v>
      </c>
      <c r="S24" s="61"/>
      <c r="T24" s="61"/>
      <c r="U24" s="61"/>
      <c r="V24" s="61"/>
      <c r="W24" s="61"/>
      <c r="X24" s="61"/>
      <c r="Y24" s="60" t="s">
        <v>111</v>
      </c>
    </row>
    <row r="25" spans="1:25" x14ac:dyDescent="0.6">
      <c r="A25" s="57">
        <v>75</v>
      </c>
      <c r="B25" s="58">
        <v>2</v>
      </c>
      <c r="C25" s="113"/>
      <c r="D25" s="59" t="s">
        <v>312</v>
      </c>
      <c r="E25" s="60" t="s">
        <v>128</v>
      </c>
      <c r="F25" s="61"/>
      <c r="G25" s="61"/>
      <c r="H25" s="61"/>
      <c r="I25" s="61"/>
      <c r="J25" s="61"/>
      <c r="K25" s="61"/>
      <c r="L25" s="61"/>
      <c r="M25" s="61"/>
      <c r="N25" s="61"/>
      <c r="O25" s="61">
        <v>35108</v>
      </c>
      <c r="P25" s="61">
        <v>35075</v>
      </c>
      <c r="Q25" s="61">
        <v>39580</v>
      </c>
      <c r="R25" s="61">
        <v>39976</v>
      </c>
      <c r="S25" s="61"/>
      <c r="T25" s="61"/>
      <c r="U25" s="61"/>
      <c r="V25" s="61"/>
      <c r="W25" s="61"/>
      <c r="X25" s="61"/>
      <c r="Y25" s="60" t="s">
        <v>111</v>
      </c>
    </row>
    <row r="26" spans="1:25" x14ac:dyDescent="0.6">
      <c r="A26" s="57">
        <v>76</v>
      </c>
      <c r="B26" s="58">
        <v>3</v>
      </c>
      <c r="C26" s="113"/>
      <c r="D26" s="59" t="s">
        <v>312</v>
      </c>
      <c r="E26" s="60" t="s">
        <v>250</v>
      </c>
      <c r="F26" s="61"/>
      <c r="G26" s="61"/>
      <c r="H26" s="61"/>
      <c r="I26" s="61"/>
      <c r="J26" s="61"/>
      <c r="K26" s="61"/>
      <c r="L26" s="61"/>
      <c r="M26" s="61"/>
      <c r="N26" s="61"/>
      <c r="O26" s="61">
        <v>38589</v>
      </c>
      <c r="P26" s="61"/>
      <c r="Q26" s="61">
        <v>42039</v>
      </c>
      <c r="R26" s="61">
        <v>42562</v>
      </c>
      <c r="S26" s="61"/>
      <c r="T26" s="61"/>
      <c r="U26" s="61"/>
      <c r="V26" s="61"/>
      <c r="W26" s="61"/>
      <c r="X26" s="61"/>
      <c r="Y26" s="60" t="s">
        <v>111</v>
      </c>
    </row>
    <row r="27" spans="1:25" x14ac:dyDescent="0.6">
      <c r="A27" s="57">
        <v>85</v>
      </c>
      <c r="B27" s="65">
        <v>1</v>
      </c>
      <c r="C27" s="107" t="s">
        <v>304</v>
      </c>
      <c r="D27" s="59" t="s">
        <v>312</v>
      </c>
      <c r="E27" s="60" t="s">
        <v>128</v>
      </c>
      <c r="F27" s="61"/>
      <c r="G27" s="61"/>
      <c r="H27" s="61"/>
      <c r="I27" s="61"/>
      <c r="J27" s="61"/>
      <c r="K27" s="61"/>
      <c r="L27" s="61"/>
      <c r="M27" s="61"/>
      <c r="N27" s="61"/>
      <c r="O27" s="61">
        <v>33239</v>
      </c>
      <c r="P27" s="61"/>
      <c r="Q27" s="61">
        <v>39983</v>
      </c>
      <c r="R27" s="61">
        <v>40351</v>
      </c>
      <c r="S27" s="61"/>
      <c r="T27" s="61"/>
      <c r="U27" s="61"/>
      <c r="V27" s="61"/>
      <c r="W27" s="61"/>
      <c r="X27" s="61"/>
      <c r="Y27" s="60" t="s">
        <v>111</v>
      </c>
    </row>
    <row r="28" spans="1:25" x14ac:dyDescent="0.6">
      <c r="A28" s="57">
        <v>86</v>
      </c>
      <c r="B28" s="65">
        <v>2</v>
      </c>
      <c r="C28" s="107"/>
      <c r="D28" s="59" t="s">
        <v>312</v>
      </c>
      <c r="E28" s="60" t="s">
        <v>128</v>
      </c>
      <c r="F28" s="61"/>
      <c r="G28" s="61"/>
      <c r="H28" s="61"/>
      <c r="I28" s="61"/>
      <c r="J28" s="61"/>
      <c r="K28" s="61"/>
      <c r="L28" s="61"/>
      <c r="M28" s="61"/>
      <c r="N28" s="61"/>
      <c r="O28" s="61">
        <v>37705</v>
      </c>
      <c r="P28" s="61">
        <v>37767</v>
      </c>
      <c r="Q28" s="61">
        <v>41989</v>
      </c>
      <c r="R28" s="61">
        <v>42411</v>
      </c>
      <c r="S28" s="61"/>
      <c r="T28" s="61"/>
      <c r="U28" s="61"/>
      <c r="V28" s="61"/>
      <c r="W28" s="61"/>
      <c r="X28" s="61"/>
      <c r="Y28" s="60" t="s">
        <v>111</v>
      </c>
    </row>
    <row r="29" spans="1:25" x14ac:dyDescent="0.6">
      <c r="A29" s="57">
        <v>87</v>
      </c>
      <c r="B29" s="65">
        <v>3</v>
      </c>
      <c r="C29" s="107"/>
      <c r="D29" s="59" t="s">
        <v>312</v>
      </c>
      <c r="E29" s="60" t="s">
        <v>250</v>
      </c>
      <c r="F29" s="61"/>
      <c r="G29" s="61"/>
      <c r="H29" s="61"/>
      <c r="I29" s="61"/>
      <c r="J29" s="61"/>
      <c r="K29" s="61"/>
      <c r="L29" s="61"/>
      <c r="M29" s="61"/>
      <c r="N29" s="61"/>
      <c r="O29" s="61">
        <v>45038</v>
      </c>
      <c r="P29" s="61"/>
      <c r="Q29" s="61">
        <v>42247</v>
      </c>
      <c r="R29" s="61">
        <v>42620</v>
      </c>
      <c r="S29" s="61"/>
      <c r="T29" s="61"/>
      <c r="U29" s="61"/>
      <c r="V29" s="61"/>
      <c r="W29" s="61"/>
      <c r="X29" s="61"/>
      <c r="Y29" s="60" t="s">
        <v>305</v>
      </c>
    </row>
    <row r="30" spans="1:25" x14ac:dyDescent="0.6">
      <c r="A30" s="57">
        <v>99</v>
      </c>
      <c r="B30" s="58">
        <v>1</v>
      </c>
      <c r="C30" s="107" t="s">
        <v>306</v>
      </c>
      <c r="D30" s="59" t="s">
        <v>312</v>
      </c>
      <c r="E30" s="60" t="s">
        <v>128</v>
      </c>
      <c r="F30" s="61"/>
      <c r="G30" s="61"/>
      <c r="H30" s="61"/>
      <c r="I30" s="61"/>
      <c r="J30" s="61"/>
      <c r="K30" s="61"/>
      <c r="L30" s="61"/>
      <c r="M30" s="61"/>
      <c r="N30" s="61"/>
      <c r="O30" s="61">
        <v>32956</v>
      </c>
      <c r="P30" s="61"/>
      <c r="Q30" s="61">
        <v>36381</v>
      </c>
      <c r="R30" s="61">
        <v>36895</v>
      </c>
      <c r="S30" s="61"/>
      <c r="T30" s="61"/>
      <c r="U30" s="61"/>
      <c r="V30" s="61"/>
      <c r="W30" s="61"/>
      <c r="X30" s="61"/>
      <c r="Y30" s="60" t="s">
        <v>91</v>
      </c>
    </row>
    <row r="31" spans="1:25" x14ac:dyDescent="0.6">
      <c r="A31" s="57">
        <v>100</v>
      </c>
      <c r="B31" s="58">
        <v>2</v>
      </c>
      <c r="C31" s="107"/>
      <c r="D31" s="59" t="s">
        <v>312</v>
      </c>
      <c r="E31" s="60" t="s">
        <v>250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>
        <v>41408</v>
      </c>
      <c r="R31" s="61">
        <v>41799</v>
      </c>
      <c r="S31" s="61"/>
      <c r="T31" s="61"/>
      <c r="U31" s="61"/>
      <c r="V31" s="61"/>
      <c r="W31" s="61"/>
      <c r="X31" s="61"/>
      <c r="Y31" s="60" t="s">
        <v>111</v>
      </c>
    </row>
    <row r="32" spans="1:25" x14ac:dyDescent="0.6">
      <c r="A32" s="57">
        <v>101</v>
      </c>
      <c r="B32" s="58">
        <v>3</v>
      </c>
      <c r="C32" s="107"/>
      <c r="D32" s="59" t="s">
        <v>312</v>
      </c>
      <c r="E32" s="60" t="s">
        <v>258</v>
      </c>
      <c r="F32" s="61"/>
      <c r="G32" s="61"/>
      <c r="H32" s="61"/>
      <c r="I32" s="61"/>
      <c r="J32" s="61"/>
      <c r="K32" s="61"/>
      <c r="L32" s="61"/>
      <c r="M32" s="61"/>
      <c r="N32" s="61"/>
      <c r="O32" s="61">
        <v>38125</v>
      </c>
      <c r="P32" s="61"/>
      <c r="Q32" s="61">
        <v>45443</v>
      </c>
      <c r="R32" s="61"/>
      <c r="S32" s="61"/>
      <c r="T32" s="61"/>
      <c r="U32" s="61"/>
      <c r="V32" s="61"/>
      <c r="W32" s="61"/>
      <c r="X32" s="61"/>
      <c r="Y32" s="60" t="s">
        <v>259</v>
      </c>
    </row>
    <row r="33" spans="1:25" x14ac:dyDescent="0.6">
      <c r="A33" s="57">
        <v>113</v>
      </c>
      <c r="B33" s="65">
        <v>1</v>
      </c>
      <c r="C33" s="107" t="s">
        <v>307</v>
      </c>
      <c r="D33" s="59" t="s">
        <v>312</v>
      </c>
      <c r="E33" s="60" t="s">
        <v>128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>
        <v>40436</v>
      </c>
      <c r="R33" s="61">
        <v>40892</v>
      </c>
      <c r="S33" s="61"/>
      <c r="T33" s="61"/>
      <c r="U33" s="61"/>
      <c r="V33" s="61"/>
      <c r="W33" s="61"/>
      <c r="X33" s="61"/>
      <c r="Y33" s="60" t="s">
        <v>111</v>
      </c>
    </row>
    <row r="34" spans="1:25" x14ac:dyDescent="0.6">
      <c r="A34" s="57">
        <v>114</v>
      </c>
      <c r="B34" s="65">
        <v>2</v>
      </c>
      <c r="C34" s="107"/>
      <c r="D34" s="59" t="s">
        <v>312</v>
      </c>
      <c r="E34" s="60" t="s">
        <v>128</v>
      </c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>
        <v>39534</v>
      </c>
      <c r="R34" s="61">
        <v>41225</v>
      </c>
      <c r="S34" s="61"/>
      <c r="T34" s="61"/>
      <c r="U34" s="61"/>
      <c r="V34" s="61"/>
      <c r="W34" s="61"/>
      <c r="X34" s="61"/>
      <c r="Y34" s="60" t="s">
        <v>249</v>
      </c>
    </row>
    <row r="35" spans="1:25" x14ac:dyDescent="0.6">
      <c r="A35" s="57">
        <v>115</v>
      </c>
      <c r="B35" s="65">
        <v>3</v>
      </c>
      <c r="C35" s="107"/>
      <c r="D35" s="59" t="s">
        <v>312</v>
      </c>
      <c r="E35" s="60" t="s">
        <v>250</v>
      </c>
      <c r="F35" s="61"/>
      <c r="G35" s="61"/>
      <c r="H35" s="61"/>
      <c r="I35" s="61"/>
      <c r="J35" s="61"/>
      <c r="K35" s="61"/>
      <c r="L35" s="61"/>
      <c r="M35" s="61"/>
      <c r="N35" s="61"/>
      <c r="O35" s="61">
        <v>36850</v>
      </c>
      <c r="P35" s="61"/>
      <c r="Q35" s="61">
        <v>40988</v>
      </c>
      <c r="R35" s="61">
        <v>41421</v>
      </c>
      <c r="S35" s="61"/>
      <c r="T35" s="61"/>
      <c r="U35" s="61"/>
      <c r="V35" s="61"/>
      <c r="W35" s="61"/>
      <c r="X35" s="61"/>
      <c r="Y35" s="60" t="s">
        <v>91</v>
      </c>
    </row>
  </sheetData>
  <mergeCells count="28">
    <mergeCell ref="A5:Y5"/>
    <mergeCell ref="A6:Y6"/>
    <mergeCell ref="A10:Y10"/>
    <mergeCell ref="A11:A12"/>
    <mergeCell ref="B11:B12"/>
    <mergeCell ref="C11:C12"/>
    <mergeCell ref="D11:D12"/>
    <mergeCell ref="E11:F11"/>
    <mergeCell ref="G11:G12"/>
    <mergeCell ref="H11:H12"/>
    <mergeCell ref="X11:X12"/>
    <mergeCell ref="Y11:Y12"/>
    <mergeCell ref="C13:C14"/>
    <mergeCell ref="C15:C17"/>
    <mergeCell ref="I11:I12"/>
    <mergeCell ref="J11:J12"/>
    <mergeCell ref="K11:M11"/>
    <mergeCell ref="N11:R11"/>
    <mergeCell ref="S11:T11"/>
    <mergeCell ref="U11:U12"/>
    <mergeCell ref="C27:C29"/>
    <mergeCell ref="C30:C32"/>
    <mergeCell ref="C33:C35"/>
    <mergeCell ref="V11:V12"/>
    <mergeCell ref="W11:W12"/>
    <mergeCell ref="C18:C20"/>
    <mergeCell ref="C21:C23"/>
    <mergeCell ref="C24:C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A4D8-2429-45B5-BA0C-2E881186693E}">
  <dimension ref="A1:H15"/>
  <sheetViews>
    <sheetView workbookViewId="0">
      <selection activeCell="C13" sqref="C13"/>
    </sheetView>
  </sheetViews>
  <sheetFormatPr defaultColWidth="9.1796875" defaultRowHeight="17" x14ac:dyDescent="0.35"/>
  <cols>
    <col min="1" max="1" width="5.1796875" style="2" bestFit="1" customWidth="1"/>
    <col min="2" max="2" width="39.1796875" style="2" bestFit="1" customWidth="1"/>
    <col min="3" max="3" width="25.453125" style="4" bestFit="1" customWidth="1"/>
    <col min="4" max="4" width="9.1796875" style="2"/>
    <col min="5" max="5" width="11.81640625" style="66" bestFit="1" customWidth="1"/>
    <col min="6" max="6" width="11.54296875" style="66" bestFit="1" customWidth="1"/>
    <col min="7" max="7" width="9.81640625" style="2" bestFit="1" customWidth="1"/>
    <col min="8" max="8" width="14.1796875" style="2" bestFit="1" customWidth="1"/>
    <col min="9" max="16384" width="9.1796875" style="2"/>
  </cols>
  <sheetData>
    <row r="1" spans="1:8" x14ac:dyDescent="0.35">
      <c r="A1" s="6" t="s">
        <v>10</v>
      </c>
      <c r="B1" s="6" t="s">
        <v>313</v>
      </c>
      <c r="C1" s="6" t="s">
        <v>16</v>
      </c>
      <c r="D1" s="6" t="s">
        <v>17</v>
      </c>
      <c r="E1" s="36" t="s">
        <v>314</v>
      </c>
      <c r="F1" s="36" t="s">
        <v>315</v>
      </c>
      <c r="G1" s="6" t="s">
        <v>316</v>
      </c>
      <c r="H1" s="6" t="s">
        <v>317</v>
      </c>
    </row>
    <row r="2" spans="1:8" x14ac:dyDescent="0.35">
      <c r="A2" s="6">
        <v>1</v>
      </c>
      <c r="B2" s="6" t="s">
        <v>71</v>
      </c>
      <c r="C2" s="35" t="s">
        <v>319</v>
      </c>
      <c r="D2" s="33" t="s">
        <v>72</v>
      </c>
      <c r="E2" s="36"/>
      <c r="F2" s="36"/>
      <c r="G2" s="6">
        <v>1</v>
      </c>
      <c r="H2" s="6"/>
    </row>
    <row r="3" spans="1:8" x14ac:dyDescent="0.35">
      <c r="A3" s="6">
        <v>6</v>
      </c>
      <c r="B3" s="6" t="s">
        <v>252</v>
      </c>
      <c r="C3" s="35" t="s">
        <v>319</v>
      </c>
      <c r="D3" s="33"/>
      <c r="E3" s="36"/>
      <c r="F3" s="36"/>
      <c r="G3" s="6"/>
      <c r="H3" s="6"/>
    </row>
    <row r="4" spans="1:8" x14ac:dyDescent="0.35">
      <c r="A4" s="6">
        <v>8</v>
      </c>
      <c r="B4" s="6" t="s">
        <v>159</v>
      </c>
      <c r="C4" s="35" t="s">
        <v>319</v>
      </c>
      <c r="D4" s="33" t="s">
        <v>250</v>
      </c>
      <c r="E4" s="36">
        <v>40795</v>
      </c>
      <c r="F4" s="36">
        <v>41300</v>
      </c>
      <c r="G4" s="6"/>
      <c r="H4" s="6"/>
    </row>
    <row r="5" spans="1:8" x14ac:dyDescent="0.35">
      <c r="A5" s="6">
        <v>22</v>
      </c>
      <c r="B5" s="6" t="s">
        <v>177</v>
      </c>
      <c r="C5" s="35" t="s">
        <v>319</v>
      </c>
      <c r="D5" s="34" t="s">
        <v>253</v>
      </c>
      <c r="E5" s="36">
        <v>43745</v>
      </c>
      <c r="F5" s="36">
        <v>44141</v>
      </c>
      <c r="G5" s="6">
        <v>1</v>
      </c>
      <c r="H5" s="6"/>
    </row>
    <row r="6" spans="1:8" x14ac:dyDescent="0.35">
      <c r="A6" s="6">
        <v>25</v>
      </c>
      <c r="B6" s="6" t="s">
        <v>133</v>
      </c>
      <c r="C6" s="35" t="s">
        <v>319</v>
      </c>
      <c r="D6" s="34" t="s">
        <v>128</v>
      </c>
      <c r="E6" s="36">
        <v>41038</v>
      </c>
      <c r="F6" s="36">
        <v>41421</v>
      </c>
      <c r="G6" s="6">
        <v>1</v>
      </c>
      <c r="H6" s="6"/>
    </row>
    <row r="7" spans="1:8" x14ac:dyDescent="0.35">
      <c r="A7" s="6">
        <v>41</v>
      </c>
      <c r="B7" s="6" t="s">
        <v>190</v>
      </c>
      <c r="C7" s="35" t="s">
        <v>319</v>
      </c>
      <c r="D7" s="34" t="s">
        <v>128</v>
      </c>
      <c r="E7" s="36">
        <v>39580</v>
      </c>
      <c r="F7" s="36">
        <v>39976</v>
      </c>
      <c r="G7" s="6">
        <v>1</v>
      </c>
      <c r="H7" s="6"/>
    </row>
    <row r="8" spans="1:8" x14ac:dyDescent="0.35">
      <c r="A8" s="6">
        <v>47</v>
      </c>
      <c r="B8" s="6" t="s">
        <v>205</v>
      </c>
      <c r="C8" s="35" t="s">
        <v>319</v>
      </c>
      <c r="D8" s="33" t="s">
        <v>128</v>
      </c>
      <c r="E8" s="36">
        <v>39983</v>
      </c>
      <c r="F8" s="36">
        <v>40351</v>
      </c>
      <c r="G8" s="6">
        <v>1</v>
      </c>
      <c r="H8" s="6"/>
    </row>
    <row r="9" spans="1:8" x14ac:dyDescent="0.35">
      <c r="A9" s="6">
        <v>57</v>
      </c>
      <c r="B9" s="6" t="s">
        <v>219</v>
      </c>
      <c r="C9" s="35" t="s">
        <v>319</v>
      </c>
      <c r="D9" s="33" t="s">
        <v>128</v>
      </c>
      <c r="E9" s="36">
        <v>36381</v>
      </c>
      <c r="F9" s="36">
        <v>36895</v>
      </c>
      <c r="G9" s="6">
        <v>1</v>
      </c>
      <c r="H9" s="6"/>
    </row>
    <row r="10" spans="1:8" x14ac:dyDescent="0.35">
      <c r="A10" s="6">
        <v>60</v>
      </c>
      <c r="B10" s="6" t="s">
        <v>235</v>
      </c>
      <c r="C10" s="35" t="s">
        <v>319</v>
      </c>
      <c r="D10" s="33" t="s">
        <v>253</v>
      </c>
      <c r="E10" s="36">
        <v>43808</v>
      </c>
      <c r="F10" s="36">
        <v>44243</v>
      </c>
      <c r="G10" s="6">
        <v>1</v>
      </c>
      <c r="H10" s="6"/>
    </row>
    <row r="11" spans="1:8" x14ac:dyDescent="0.35">
      <c r="F11" s="66" t="s">
        <v>318</v>
      </c>
      <c r="G11" s="2">
        <f>COUNTA(G2:G10)</f>
        <v>7</v>
      </c>
    </row>
    <row r="12" spans="1:8" x14ac:dyDescent="0.35">
      <c r="F12" s="66" t="s">
        <v>122</v>
      </c>
      <c r="G12" s="2" t="e">
        <f>COUNTIFS(G2:G10,"1",#REF!,"ນ*")</f>
        <v>#REF!</v>
      </c>
    </row>
    <row r="14" spans="1:8" x14ac:dyDescent="0.35">
      <c r="F14" s="66" t="s">
        <v>314</v>
      </c>
      <c r="G14" s="2">
        <f>COUNTIF(H2:H10,"1")</f>
        <v>0</v>
      </c>
    </row>
    <row r="15" spans="1:8" x14ac:dyDescent="0.35">
      <c r="F15" s="66" t="s">
        <v>122</v>
      </c>
      <c r="G15" s="2" t="e">
        <f>COUNTIFS(H2:H10,"1",#REF!,"ນ*")</f>
        <v>#REF!</v>
      </c>
    </row>
  </sheetData>
  <conditionalFormatting sqref="C2:C10">
    <cfRule type="duplicateValues" dxfId="1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356B8-1C87-48D4-B084-0504BE4475ED}">
  <dimension ref="A1:H4"/>
  <sheetViews>
    <sheetView workbookViewId="0">
      <selection activeCell="C1" sqref="C1:H1"/>
    </sheetView>
  </sheetViews>
  <sheetFormatPr defaultColWidth="9.1796875" defaultRowHeight="14.5" x14ac:dyDescent="0.35"/>
  <cols>
    <col min="1" max="1" width="25.453125" bestFit="1" customWidth="1"/>
    <col min="2" max="2" width="4" bestFit="1" customWidth="1"/>
    <col min="3" max="3" width="7" bestFit="1" customWidth="1"/>
    <col min="4" max="4" width="37" bestFit="1" customWidth="1"/>
    <col min="5" max="5" width="7" bestFit="1" customWidth="1"/>
    <col min="6" max="6" width="49.7265625" bestFit="1" customWidth="1"/>
    <col min="7" max="7" width="8.7265625" bestFit="1" customWidth="1"/>
    <col min="8" max="8" width="12.81640625" bestFit="1" customWidth="1"/>
  </cols>
  <sheetData>
    <row r="1" spans="1:8" ht="17" x14ac:dyDescent="0.35">
      <c r="A1" s="37"/>
      <c r="B1" s="37"/>
      <c r="C1" s="106" t="s">
        <v>6</v>
      </c>
      <c r="D1" s="106"/>
      <c r="E1" s="106"/>
      <c r="F1" s="106"/>
      <c r="G1" s="106"/>
      <c r="H1" s="106"/>
    </row>
    <row r="2" spans="1:8" ht="17" x14ac:dyDescent="0.35">
      <c r="A2" s="6" t="s">
        <v>16</v>
      </c>
      <c r="B2" s="6" t="s">
        <v>17</v>
      </c>
      <c r="C2" s="6" t="s">
        <v>49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</row>
    <row r="3" spans="1:8" x14ac:dyDescent="0.35">
      <c r="A3" s="15">
        <v>1</v>
      </c>
      <c r="B3" s="15">
        <v>2</v>
      </c>
      <c r="C3" s="15">
        <v>48</v>
      </c>
      <c r="D3" s="15">
        <v>49</v>
      </c>
      <c r="E3" s="15">
        <v>50</v>
      </c>
      <c r="F3" s="15">
        <v>51</v>
      </c>
      <c r="G3" s="15">
        <v>52</v>
      </c>
      <c r="H3" s="15">
        <v>53</v>
      </c>
    </row>
    <row r="4" spans="1:8" ht="17" x14ac:dyDescent="0.35">
      <c r="A4" s="35" t="s">
        <v>303</v>
      </c>
      <c r="B4" s="33" t="s">
        <v>253</v>
      </c>
      <c r="C4" s="33" t="s">
        <v>210</v>
      </c>
      <c r="D4" s="33" t="s">
        <v>257</v>
      </c>
      <c r="E4" s="33" t="s">
        <v>98</v>
      </c>
      <c r="F4" s="33" t="s">
        <v>256</v>
      </c>
      <c r="G4" s="33" t="s">
        <v>251</v>
      </c>
      <c r="H4" s="33">
        <v>2017</v>
      </c>
    </row>
  </sheetData>
  <mergeCells count="1">
    <mergeCell ref="C1:H1"/>
  </mergeCells>
  <conditionalFormatting sqref="A4">
    <cfRule type="duplicateValues" dxfId="0" priority="1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F1E0-E778-4ABC-BA17-C1C9018C94BF}">
  <dimension ref="A1:I6"/>
  <sheetViews>
    <sheetView workbookViewId="0">
      <selection activeCell="I1" sqref="I1"/>
    </sheetView>
  </sheetViews>
  <sheetFormatPr defaultColWidth="4.26953125" defaultRowHeight="17" x14ac:dyDescent="0.55000000000000004"/>
  <cols>
    <col min="1" max="1" width="4.1796875" style="2" bestFit="1" customWidth="1"/>
    <col min="2" max="2" width="25.453125" style="71" bestFit="1" customWidth="1"/>
    <col min="3" max="3" width="6.81640625" style="2" bestFit="1" customWidth="1"/>
    <col min="4" max="4" width="18.7265625" style="66" bestFit="1" customWidth="1"/>
    <col min="5" max="5" width="6.81640625" style="72" bestFit="1" customWidth="1"/>
    <col min="6" max="6" width="8.7265625" style="72" bestFit="1" customWidth="1"/>
    <col min="7" max="7" width="7" style="72" bestFit="1" customWidth="1"/>
    <col min="8" max="8" width="22.81640625" style="71" bestFit="1" customWidth="1"/>
    <col min="9" max="9" width="25.81640625" style="66" bestFit="1" customWidth="1"/>
    <col min="10" max="16384" width="4.26953125" style="71"/>
  </cols>
  <sheetData>
    <row r="1" spans="1:9" s="68" customFormat="1" x14ac:dyDescent="0.55000000000000004">
      <c r="A1" s="67" t="s">
        <v>17</v>
      </c>
      <c r="B1" s="67" t="s">
        <v>16</v>
      </c>
      <c r="C1" s="67" t="s">
        <v>21</v>
      </c>
      <c r="D1" s="67" t="s">
        <v>22</v>
      </c>
      <c r="E1" s="124" t="s">
        <v>320</v>
      </c>
      <c r="F1" s="124"/>
      <c r="G1" s="124"/>
      <c r="H1" s="67" t="s">
        <v>321</v>
      </c>
      <c r="I1" s="67" t="s">
        <v>322</v>
      </c>
    </row>
    <row r="2" spans="1:9" x14ac:dyDescent="0.55000000000000004">
      <c r="A2" s="6" t="s">
        <v>262</v>
      </c>
      <c r="B2" s="69" t="s">
        <v>298</v>
      </c>
      <c r="C2" s="6" t="str">
        <f ca="1">DATEDIF('[1]ສະຖິຕິພະນັກງານຫ້ອງການ(ແບບລະອຽດ)'!K16,TODAY(),"Y")&amp;" ປີ"</f>
        <v>41 ປີ</v>
      </c>
      <c r="D2" s="36">
        <v>45678</v>
      </c>
      <c r="E2" s="70" t="str">
        <f t="shared" ref="E2:E3" ca="1" si="0">DATEDIF(D2,TODAY(),"Y")&amp;" ປີ"</f>
        <v>0 ປີ</v>
      </c>
      <c r="F2" s="70" t="str">
        <f t="shared" ref="F2:F3" ca="1" si="1">DATEDIF(D2,TODAY(),"YM")&amp;" ເດືອນ"</f>
        <v>5 ເດືອນ</v>
      </c>
      <c r="G2" s="70" t="str">
        <f t="shared" ref="G2:G3" ca="1" si="2">DATEDIF(D2,TODAY(),"MD")&amp;" ວັນ"</f>
        <v>7 ວັນ</v>
      </c>
      <c r="H2" s="6" t="s">
        <v>255</v>
      </c>
      <c r="I2" s="36">
        <v>45729</v>
      </c>
    </row>
    <row r="3" spans="1:9" x14ac:dyDescent="0.55000000000000004">
      <c r="A3" s="6" t="s">
        <v>262</v>
      </c>
      <c r="B3" s="69" t="s">
        <v>299</v>
      </c>
      <c r="C3" s="6" t="str">
        <f ca="1">DATEDIF('[1]ສະຖິຕິພະນັກງານຫ້ອງການ(ແບບລະອຽດ)'!K17,TODAY(),"Y")&amp;" ປີ"</f>
        <v>46 ປີ</v>
      </c>
      <c r="D3" s="36">
        <v>45700</v>
      </c>
      <c r="E3" s="70" t="str">
        <f t="shared" ca="1" si="0"/>
        <v>0 ປີ</v>
      </c>
      <c r="F3" s="70" t="str">
        <f t="shared" ca="1" si="1"/>
        <v>4 ເດືອນ</v>
      </c>
      <c r="G3" s="70" t="str">
        <f t="shared" ca="1" si="2"/>
        <v>16 ວັນ</v>
      </c>
      <c r="H3" s="6" t="s">
        <v>255</v>
      </c>
      <c r="I3" s="36">
        <v>45729</v>
      </c>
    </row>
    <row r="4" spans="1:9" x14ac:dyDescent="0.55000000000000004">
      <c r="A4" s="6" t="s">
        <v>262</v>
      </c>
      <c r="B4" s="69" t="s">
        <v>308</v>
      </c>
      <c r="C4" s="6" t="str">
        <f ca="1">DATEDIF('[1]ສະຖິຕິພະນັກງານຫ້ອງການ(ແບບລະອຽດ)'!K156,TODAY(),"Y")&amp;" ປີ"</f>
        <v>25 ປີ</v>
      </c>
      <c r="D4" s="36">
        <v>45148</v>
      </c>
      <c r="E4" s="70" t="str">
        <f t="shared" ref="E4:E6" ca="1" si="3">DATEDIF(D4,TODAY(),"Y")&amp;" ປີ"</f>
        <v>1 ປີ</v>
      </c>
      <c r="F4" s="70" t="str">
        <f t="shared" ref="F4:F6" ca="1" si="4">DATEDIF(D4,TODAY(),"YM")&amp;" ເດືອນ"</f>
        <v>10 ເດືອນ</v>
      </c>
      <c r="G4" s="70" t="str">
        <f t="shared" ref="G4:G6" ca="1" si="5">DATEDIF(D4,TODAY(),"MD")&amp;" ວັນ"</f>
        <v>18 ວັນ</v>
      </c>
      <c r="H4" s="6" t="s">
        <v>255</v>
      </c>
      <c r="I4" s="36"/>
    </row>
    <row r="5" spans="1:9" x14ac:dyDescent="0.55000000000000004">
      <c r="A5" s="6" t="s">
        <v>262</v>
      </c>
      <c r="B5" s="69" t="s">
        <v>309</v>
      </c>
      <c r="C5" s="6" t="str">
        <f ca="1">DATEDIF('[1]ສະຖິຕິພະນັກງານຫ້ອງການ(ແບບລະອຽດ)'!K157,TODAY(),"Y")&amp;" ປີ"</f>
        <v>20 ປີ</v>
      </c>
      <c r="D5" s="36">
        <v>45336</v>
      </c>
      <c r="E5" s="70" t="str">
        <f t="shared" ca="1" si="3"/>
        <v>1 ປີ</v>
      </c>
      <c r="F5" s="70" t="str">
        <f t="shared" ca="1" si="4"/>
        <v>4 ເດືອນ</v>
      </c>
      <c r="G5" s="70" t="str">
        <f t="shared" ca="1" si="5"/>
        <v>14 ວັນ</v>
      </c>
      <c r="H5" s="6" t="s">
        <v>255</v>
      </c>
      <c r="I5" s="36"/>
    </row>
    <row r="6" spans="1:9" x14ac:dyDescent="0.55000000000000004">
      <c r="A6" s="6" t="s">
        <v>262</v>
      </c>
      <c r="B6" s="69" t="s">
        <v>310</v>
      </c>
      <c r="C6" s="6" t="str">
        <f ca="1">DATEDIF('[1]ສະຖິຕິພະນັກງານຫ້ອງການ(ແບບລະອຽດ)'!K158,TODAY(),"Y")&amp;" ປີ"</f>
        <v>25 ປີ</v>
      </c>
      <c r="D6" s="36">
        <v>45336</v>
      </c>
      <c r="E6" s="70" t="str">
        <f t="shared" ca="1" si="3"/>
        <v>1 ປີ</v>
      </c>
      <c r="F6" s="70" t="str">
        <f t="shared" ca="1" si="4"/>
        <v>4 ເດືອນ</v>
      </c>
      <c r="G6" s="70" t="str">
        <f t="shared" ca="1" si="5"/>
        <v>14 ວັນ</v>
      </c>
      <c r="H6" s="6" t="s">
        <v>255</v>
      </c>
      <c r="I6" s="36"/>
    </row>
  </sheetData>
  <mergeCells count="1"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2698E-2195-4821-89F3-07922D060CCF}">
  <dimension ref="A1:G7"/>
  <sheetViews>
    <sheetView workbookViewId="0">
      <selection sqref="A1:E1"/>
    </sheetView>
  </sheetViews>
  <sheetFormatPr defaultColWidth="9.1796875" defaultRowHeight="14.5" x14ac:dyDescent="0.35"/>
  <cols>
    <col min="1" max="1" width="5.54296875" style="74" bestFit="1" customWidth="1"/>
    <col min="2" max="2" width="29.453125" style="74" customWidth="1"/>
    <col min="3" max="3" width="8.7265625" style="74" customWidth="1"/>
    <col min="4" max="4" width="29.453125" style="74" customWidth="1"/>
    <col min="5" max="5" width="29.453125" style="87" customWidth="1"/>
    <col min="6" max="6" width="14.26953125" style="74" bestFit="1" customWidth="1"/>
    <col min="7" max="7" width="8.7265625" customWidth="1"/>
    <col min="8" max="16384" width="9.1796875" style="74"/>
  </cols>
  <sheetData>
    <row r="1" spans="1:6" ht="29.25" customHeight="1" x14ac:dyDescent="0.35">
      <c r="A1" s="125" t="s">
        <v>323</v>
      </c>
      <c r="B1" s="125"/>
      <c r="C1" s="125"/>
      <c r="D1" s="125"/>
      <c r="E1" s="125"/>
      <c r="F1" s="73">
        <v>46117</v>
      </c>
    </row>
    <row r="2" spans="1:6" ht="18.5" x14ac:dyDescent="0.35">
      <c r="A2" s="75" t="s">
        <v>10</v>
      </c>
      <c r="B2" s="75" t="s">
        <v>16</v>
      </c>
      <c r="C2" s="75" t="s">
        <v>17</v>
      </c>
      <c r="D2" s="75" t="s">
        <v>324</v>
      </c>
      <c r="E2" s="76" t="s">
        <v>325</v>
      </c>
    </row>
    <row r="3" spans="1:6" ht="18.5" x14ac:dyDescent="0.55000000000000004">
      <c r="A3" s="77">
        <v>9</v>
      </c>
      <c r="B3" s="81" t="s">
        <v>248</v>
      </c>
      <c r="C3" s="79" t="str">
        <f>VLOOKUP(B3,'[1]ສະຖິຕິພະນັກງານຫ້ອງການ(ແບບລະອຽດ)'!$G$5:$CJ$158,2,FALSE)</f>
        <v>ພັທ</v>
      </c>
      <c r="D3" s="79">
        <f>VLOOKUP(B3,'[1]ສະຖິຕິພະນັກງານຫ້ອງການ(ແບບລະອຽດ)'!$G$5:$CJ$158,22,FALSE)</f>
        <v>34557</v>
      </c>
      <c r="E3" s="78" t="str">
        <f>DATEDIF(D3,$F$1,"Y")&amp;" ປີ"&amp;" "&amp;DATEDIF(D3,$F$1,"ym")&amp;" ເດືອນ"&amp;" "&amp;DATEDIF(D3,$F$1,"md")&amp;" ວັນ"</f>
        <v>31 ປີ 7 ເດືອນ 25 ວັນ</v>
      </c>
    </row>
    <row r="4" spans="1:6" s="85" customFormat="1" ht="18.5" x14ac:dyDescent="0.55000000000000004">
      <c r="A4" s="84">
        <v>148</v>
      </c>
      <c r="B4" s="86" t="s">
        <v>263</v>
      </c>
      <c r="C4" s="82" t="str">
        <f>VLOOKUP(B4,'[1]ສະຖິຕິພະນັກງານຫ້ອງການ(ແບບລະອຽດ)'!$G$5:$CJ$158,2,FALSE)</f>
        <v>ສທ</v>
      </c>
      <c r="D4" s="82">
        <f>VLOOKUP(B4,'[1]ສະຖິຕິພະນັກງານຫ້ອງການ(ແບບລະອຽດ)'!$G$5:$CJ$158,22,FALSE)</f>
        <v>45285</v>
      </c>
      <c r="E4" s="83" t="str">
        <f>DATEDIF(D4,$F$1,"Y")&amp;" ປີ"&amp;" "&amp;DATEDIF(D4,$F$1,"ym")&amp;" ເດືອນ"&amp;" "&amp;DATEDIF(D4,$F$1,"md")&amp;" ວັນ"</f>
        <v>2 ປີ 3 ເດືອນ 11 ວັນ</v>
      </c>
    </row>
    <row r="5" spans="1:6" s="85" customFormat="1" ht="18.5" x14ac:dyDescent="0.55000000000000004">
      <c r="A5" s="84">
        <v>149</v>
      </c>
      <c r="B5" s="86" t="s">
        <v>264</v>
      </c>
      <c r="C5" s="82" t="str">
        <f>VLOOKUP(B5,'[1]ສະຖິຕິພະນັກງານຫ້ອງການ(ແບບລະອຽດ)'!$G$5:$CJ$158,2,FALSE)</f>
        <v>ສທ</v>
      </c>
      <c r="D5" s="82">
        <f>VLOOKUP(B5,'[1]ສະຖິຕິພະນັກງານຫ້ອງການ(ແບບລະອຽດ)'!$G$5:$CJ$158,22,FALSE)</f>
        <v>44555</v>
      </c>
      <c r="E5" s="83" t="str">
        <f>DATEDIF(D5,$F$1,"Y")&amp;" ປີ"&amp;" "&amp;DATEDIF(D5,$F$1,"ym")&amp;" ເດືອນ"&amp;" "&amp;DATEDIF(D5,$F$1,"md")&amp;" ວັນ"</f>
        <v>4 ປີ 3 ເດືອນ 11 ວັນ</v>
      </c>
    </row>
    <row r="6" spans="1:6" s="85" customFormat="1" ht="18.5" x14ac:dyDescent="0.55000000000000004">
      <c r="A6" s="84">
        <v>150</v>
      </c>
      <c r="B6" s="86" t="s">
        <v>265</v>
      </c>
      <c r="C6" s="82" t="str">
        <f>VLOOKUP(B6,'[1]ສະຖິຕິພະນັກງານຫ້ອງການ(ແບບລະອຽດ)'!$G$5:$CJ$158,2,FALSE)</f>
        <v>ສທ</v>
      </c>
      <c r="D6" s="82">
        <f>VLOOKUP(B6,'[1]ສະຖິຕິພະນັກງານຫ້ອງການ(ແບບລະອຽດ)'!$G$5:$CJ$158,22,FALSE)</f>
        <v>44438</v>
      </c>
      <c r="E6" s="83" t="str">
        <f>DATEDIF(D6,$F$1,"Y")&amp;" ປີ"&amp;" "&amp;DATEDIF(D6,$F$1,"ym")&amp;" ເດືອນ"&amp;" "&amp;DATEDIF(D6,$F$1,"md")&amp;" ວັນ"</f>
        <v>4 ປີ 7 ເດືອນ 6 ວັນ</v>
      </c>
    </row>
    <row r="7" spans="1:6" s="85" customFormat="1" ht="18.5" x14ac:dyDescent="0.55000000000000004">
      <c r="A7" s="84">
        <v>151</v>
      </c>
      <c r="B7" s="86" t="s">
        <v>266</v>
      </c>
      <c r="C7" s="82" t="str">
        <f>VLOOKUP(B7,'[1]ສະຖິຕິພະນັກງານຫ້ອງການ(ແບບລະອຽດ)'!$G$5:$CJ$158,2,FALSE)</f>
        <v>ສທ</v>
      </c>
      <c r="D7" s="82">
        <f>VLOOKUP(B7,'[1]ສະຖິຕິພະນັກງານຫ້ອງການ(ແບບລະອຽດ)'!$G$5:$CJ$158,22,FALSE)</f>
        <v>44803</v>
      </c>
      <c r="E7" s="83" t="str">
        <f>DATEDIF(D7,$F$1,"Y")&amp;" ປີ"&amp;" "&amp;DATEDIF(D7,$F$1,"ym")&amp;" ເດືອນ"&amp;" "&amp;DATEDIF(D7,$F$1,"md")&amp;" ວັນ"</f>
        <v>3 ປີ 7 ເດືອນ 6 ວັນ</v>
      </c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4E740-A545-411D-A47A-B87892E032FE}">
  <dimension ref="A1:AB19"/>
  <sheetViews>
    <sheetView tabSelected="1" topLeftCell="A10" workbookViewId="0">
      <selection activeCell="L13" sqref="L13"/>
    </sheetView>
  </sheetViews>
  <sheetFormatPr defaultColWidth="9.1796875" defaultRowHeight="18.5" x14ac:dyDescent="0.6"/>
  <cols>
    <col min="1" max="1" width="5.1796875" style="89" customWidth="1"/>
    <col min="2" max="2" width="19.1796875" style="89" bestFit="1" customWidth="1"/>
    <col min="3" max="3" width="3.81640625" style="89" bestFit="1" customWidth="1"/>
    <col min="4" max="4" width="9.54296875" style="89" bestFit="1" customWidth="1"/>
    <col min="5" max="5" width="9.453125" style="89" bestFit="1" customWidth="1"/>
    <col min="6" max="6" width="4.453125" style="89" bestFit="1" customWidth="1"/>
    <col min="7" max="7" width="5.453125" style="89" bestFit="1" customWidth="1"/>
    <col min="8" max="8" width="9.7265625" style="89" bestFit="1" customWidth="1"/>
    <col min="9" max="9" width="11.7265625" style="89" bestFit="1" customWidth="1"/>
    <col min="10" max="10" width="9.1796875" style="89" bestFit="1"/>
    <col min="11" max="11" width="9.7265625" style="89" bestFit="1" customWidth="1"/>
    <col min="12" max="12" width="12.1796875" style="89" customWidth="1"/>
    <col min="13" max="13" width="9.81640625" style="89" bestFit="1" customWidth="1"/>
    <col min="14" max="14" width="10" style="89" bestFit="1" customWidth="1"/>
    <col min="15" max="15" width="9.7265625" style="89" bestFit="1" customWidth="1"/>
    <col min="16" max="16" width="9.54296875" style="89" bestFit="1" customWidth="1"/>
    <col min="17" max="17" width="8.7265625" style="89" bestFit="1" customWidth="1"/>
    <col min="18" max="18" width="8.81640625" style="89" bestFit="1" customWidth="1"/>
    <col min="19" max="19" width="7.453125" style="89" bestFit="1" customWidth="1"/>
    <col min="20" max="20" width="6.453125" style="89" bestFit="1" customWidth="1"/>
    <col min="21" max="21" width="8.1796875" style="89" bestFit="1" customWidth="1"/>
    <col min="22" max="22" width="9.26953125" style="89" bestFit="1" customWidth="1"/>
    <col min="23" max="26" width="9.26953125" style="89" customWidth="1"/>
    <col min="27" max="27" width="10.26953125" style="89" bestFit="1" customWidth="1"/>
    <col min="28" max="28" width="8.26953125" style="89" customWidth="1"/>
    <col min="29" max="16384" width="9.1796875" style="89"/>
  </cols>
  <sheetData>
    <row r="1" spans="1:28" x14ac:dyDescent="0.6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 spans="1:28" x14ac:dyDescent="0.6">
      <c r="A2" s="90"/>
      <c r="B2" s="88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</row>
    <row r="3" spans="1:28" x14ac:dyDescent="0.6">
      <c r="A3" s="90"/>
      <c r="B3" s="88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</row>
    <row r="4" spans="1:28" x14ac:dyDescent="0.6">
      <c r="A4" s="92"/>
      <c r="B4" s="93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</row>
    <row r="5" spans="1:28" x14ac:dyDescent="0.6">
      <c r="A5" s="130" t="s">
        <v>269</v>
      </c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</row>
    <row r="6" spans="1:28" x14ac:dyDescent="0.6">
      <c r="A6" s="130" t="s">
        <v>270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</row>
    <row r="7" spans="1:28" x14ac:dyDescent="0.6">
      <c r="A7" s="131" t="s">
        <v>271</v>
      </c>
      <c r="B7" s="131"/>
      <c r="C7" s="131"/>
      <c r="D7" s="131"/>
      <c r="E7" s="131"/>
      <c r="F7" s="131"/>
      <c r="G7" s="131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94"/>
    </row>
    <row r="8" spans="1:28" x14ac:dyDescent="0.6">
      <c r="A8" s="132" t="s">
        <v>272</v>
      </c>
      <c r="B8" s="132"/>
      <c r="C8" s="132"/>
      <c r="D8" s="132"/>
      <c r="E8" s="132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8"/>
      <c r="S8" s="90"/>
      <c r="T8" s="90"/>
      <c r="U8" s="90"/>
      <c r="V8" s="90"/>
      <c r="W8" s="90"/>
      <c r="X8" s="90"/>
      <c r="Y8" s="90"/>
      <c r="Z8" s="90"/>
      <c r="AA8" s="90"/>
      <c r="AB8" s="95" t="s">
        <v>273</v>
      </c>
    </row>
    <row r="9" spans="1:28" x14ac:dyDescent="0.6">
      <c r="A9" s="91"/>
      <c r="B9" s="96"/>
      <c r="C9" s="91"/>
      <c r="D9" s="91"/>
      <c r="E9" s="91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8"/>
      <c r="R9" s="90"/>
      <c r="S9" s="90"/>
      <c r="T9" s="90"/>
      <c r="U9" s="90"/>
      <c r="V9" s="90"/>
      <c r="W9" s="90"/>
      <c r="X9" s="90"/>
      <c r="Y9" s="90"/>
      <c r="Z9" s="90"/>
      <c r="AA9" s="90"/>
      <c r="AB9" s="95" t="s">
        <v>326</v>
      </c>
    </row>
    <row r="10" spans="1:28" ht="21.5" x14ac:dyDescent="0.6">
      <c r="A10" s="133" t="s">
        <v>327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</row>
    <row r="11" spans="1:28" x14ac:dyDescent="0.6">
      <c r="A11" s="97" t="s">
        <v>328</v>
      </c>
      <c r="B11" s="97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 spans="1:28" x14ac:dyDescent="0.6">
      <c r="A12" s="116" t="s">
        <v>10</v>
      </c>
      <c r="B12" s="127" t="s">
        <v>16</v>
      </c>
      <c r="C12" s="116" t="s">
        <v>277</v>
      </c>
      <c r="D12" s="116"/>
      <c r="E12" s="116" t="s">
        <v>278</v>
      </c>
      <c r="F12" s="126" t="s">
        <v>279</v>
      </c>
      <c r="G12" s="126" t="s">
        <v>280</v>
      </c>
      <c r="H12" s="126" t="s">
        <v>281</v>
      </c>
      <c r="I12" s="116" t="s">
        <v>282</v>
      </c>
      <c r="J12" s="116"/>
      <c r="K12" s="116"/>
      <c r="L12" s="116" t="s">
        <v>283</v>
      </c>
      <c r="M12" s="116"/>
      <c r="N12" s="116"/>
      <c r="O12" s="116"/>
      <c r="P12" s="116"/>
      <c r="Q12" s="116" t="s">
        <v>284</v>
      </c>
      <c r="R12" s="116"/>
      <c r="S12" s="126" t="s">
        <v>285</v>
      </c>
      <c r="T12" s="126" t="s">
        <v>286</v>
      </c>
      <c r="U12" s="126" t="s">
        <v>287</v>
      </c>
      <c r="V12" s="126" t="s">
        <v>329</v>
      </c>
      <c r="W12" s="128" t="s">
        <v>336</v>
      </c>
      <c r="X12" s="129"/>
      <c r="Y12" s="126" t="s">
        <v>338</v>
      </c>
      <c r="Z12" s="126"/>
      <c r="AA12" s="116" t="s">
        <v>63</v>
      </c>
      <c r="AB12" s="116" t="s">
        <v>64</v>
      </c>
    </row>
    <row r="13" spans="1:28" ht="24" x14ac:dyDescent="0.6">
      <c r="A13" s="116"/>
      <c r="B13" s="127"/>
      <c r="C13" s="54" t="s">
        <v>17</v>
      </c>
      <c r="D13" s="55" t="s">
        <v>288</v>
      </c>
      <c r="E13" s="116"/>
      <c r="F13" s="116"/>
      <c r="G13" s="116"/>
      <c r="H13" s="116"/>
      <c r="I13" s="54" t="s">
        <v>27</v>
      </c>
      <c r="J13" s="54" t="s">
        <v>25</v>
      </c>
      <c r="K13" s="54" t="s">
        <v>26</v>
      </c>
      <c r="L13" s="54" t="s">
        <v>289</v>
      </c>
      <c r="M13" s="54" t="s">
        <v>330</v>
      </c>
      <c r="N13" s="54" t="s">
        <v>290</v>
      </c>
      <c r="O13" s="54" t="s">
        <v>292</v>
      </c>
      <c r="P13" s="54" t="s">
        <v>293</v>
      </c>
      <c r="Q13" s="54" t="s">
        <v>294</v>
      </c>
      <c r="R13" s="54" t="s">
        <v>295</v>
      </c>
      <c r="S13" s="116"/>
      <c r="T13" s="116"/>
      <c r="U13" s="126"/>
      <c r="V13" s="126"/>
      <c r="W13" s="56" t="s">
        <v>334</v>
      </c>
      <c r="X13" s="105" t="s">
        <v>335</v>
      </c>
      <c r="Y13" s="55" t="s">
        <v>23</v>
      </c>
      <c r="Z13" s="55" t="s">
        <v>339</v>
      </c>
      <c r="AA13" s="116"/>
      <c r="AB13" s="116"/>
    </row>
    <row r="14" spans="1:28" s="99" customFormat="1" ht="12" x14ac:dyDescent="0.35">
      <c r="A14" s="98">
        <v>1</v>
      </c>
      <c r="B14" s="59" t="s">
        <v>331</v>
      </c>
      <c r="C14" s="60" t="s">
        <v>267</v>
      </c>
      <c r="D14" s="61" t="s">
        <v>311</v>
      </c>
      <c r="E14" s="61">
        <v>36755</v>
      </c>
      <c r="F14" s="60" t="s">
        <v>82</v>
      </c>
      <c r="G14" s="60" t="s">
        <v>83</v>
      </c>
      <c r="H14" s="60" t="s">
        <v>139</v>
      </c>
      <c r="I14" s="60" t="s">
        <v>237</v>
      </c>
      <c r="J14" s="60" t="s">
        <v>106</v>
      </c>
      <c r="K14" s="60" t="s">
        <v>81</v>
      </c>
      <c r="L14" s="61">
        <v>45782</v>
      </c>
      <c r="M14" s="61">
        <v>42515</v>
      </c>
      <c r="N14" s="61">
        <v>42500</v>
      </c>
      <c r="O14" s="61" t="s">
        <v>311</v>
      </c>
      <c r="P14" s="61" t="s">
        <v>311</v>
      </c>
      <c r="Q14" s="62" t="s">
        <v>261</v>
      </c>
      <c r="R14" s="62" t="s">
        <v>311</v>
      </c>
      <c r="S14" s="60" t="s">
        <v>254</v>
      </c>
      <c r="T14" s="60" t="s">
        <v>311</v>
      </c>
      <c r="U14" s="98"/>
      <c r="V14" s="62"/>
      <c r="W14" s="62"/>
      <c r="X14" s="62"/>
      <c r="Y14" s="62"/>
      <c r="Z14" s="62"/>
      <c r="AA14" s="63">
        <v>59458276</v>
      </c>
      <c r="AB14" s="98"/>
    </row>
    <row r="15" spans="1:28" x14ac:dyDescent="0.6">
      <c r="A15" s="99"/>
      <c r="B15" s="64"/>
      <c r="C15" s="100"/>
      <c r="D15" s="101"/>
      <c r="E15" s="101"/>
      <c r="F15" s="100"/>
      <c r="G15" s="100"/>
      <c r="H15" s="100"/>
      <c r="I15" s="100"/>
      <c r="J15" s="100"/>
      <c r="K15" s="100"/>
      <c r="L15" s="101"/>
      <c r="M15" s="101"/>
      <c r="N15" s="101"/>
      <c r="O15" s="102"/>
      <c r="P15" s="102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3"/>
      <c r="AB15" s="100"/>
    </row>
    <row r="16" spans="1:28" x14ac:dyDescent="0.6">
      <c r="A16" s="97" t="s">
        <v>332</v>
      </c>
      <c r="B16" s="97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 spans="1:28" x14ac:dyDescent="0.6">
      <c r="A17" s="116" t="s">
        <v>10</v>
      </c>
      <c r="B17" s="127" t="s">
        <v>16</v>
      </c>
      <c r="C17" s="116" t="s">
        <v>277</v>
      </c>
      <c r="D17" s="116"/>
      <c r="E17" s="116" t="s">
        <v>278</v>
      </c>
      <c r="F17" s="126" t="s">
        <v>279</v>
      </c>
      <c r="G17" s="126" t="s">
        <v>280</v>
      </c>
      <c r="H17" s="126" t="s">
        <v>281</v>
      </c>
      <c r="I17" s="116" t="s">
        <v>282</v>
      </c>
      <c r="J17" s="116"/>
      <c r="K17" s="116"/>
      <c r="L17" s="116" t="s">
        <v>283</v>
      </c>
      <c r="M17" s="116"/>
      <c r="N17" s="116"/>
      <c r="O17" s="116"/>
      <c r="P17" s="116"/>
      <c r="Q17" s="116" t="s">
        <v>284</v>
      </c>
      <c r="R17" s="116"/>
      <c r="S17" s="126" t="s">
        <v>285</v>
      </c>
      <c r="T17" s="126" t="s">
        <v>286</v>
      </c>
      <c r="U17" s="126" t="s">
        <v>287</v>
      </c>
      <c r="V17" s="126" t="s">
        <v>329</v>
      </c>
      <c r="W17" s="128" t="s">
        <v>336</v>
      </c>
      <c r="X17" s="129"/>
      <c r="Y17" s="126" t="s">
        <v>338</v>
      </c>
      <c r="Z17" s="126"/>
      <c r="AA17" s="116" t="s">
        <v>63</v>
      </c>
      <c r="AB17" s="116" t="s">
        <v>64</v>
      </c>
    </row>
    <row r="18" spans="1:28" ht="24" x14ac:dyDescent="0.6">
      <c r="A18" s="116"/>
      <c r="B18" s="127"/>
      <c r="C18" s="54" t="s">
        <v>17</v>
      </c>
      <c r="D18" s="55" t="s">
        <v>288</v>
      </c>
      <c r="E18" s="116"/>
      <c r="F18" s="116"/>
      <c r="G18" s="116"/>
      <c r="H18" s="116"/>
      <c r="I18" s="54" t="s">
        <v>27</v>
      </c>
      <c r="J18" s="54" t="s">
        <v>25</v>
      </c>
      <c r="K18" s="54" t="s">
        <v>26</v>
      </c>
      <c r="L18" s="54" t="s">
        <v>289</v>
      </c>
      <c r="M18" s="54" t="s">
        <v>330</v>
      </c>
      <c r="N18" s="54" t="s">
        <v>290</v>
      </c>
      <c r="O18" s="54" t="s">
        <v>292</v>
      </c>
      <c r="P18" s="54" t="s">
        <v>293</v>
      </c>
      <c r="Q18" s="54" t="s">
        <v>294</v>
      </c>
      <c r="R18" s="54" t="s">
        <v>295</v>
      </c>
      <c r="S18" s="116"/>
      <c r="T18" s="116"/>
      <c r="U18" s="126"/>
      <c r="V18" s="126"/>
      <c r="W18" s="55" t="s">
        <v>333</v>
      </c>
      <c r="X18" s="55" t="s">
        <v>337</v>
      </c>
      <c r="Y18" s="55" t="s">
        <v>23</v>
      </c>
      <c r="Z18" s="55" t="s">
        <v>339</v>
      </c>
      <c r="AA18" s="116"/>
      <c r="AB18" s="116"/>
    </row>
    <row r="19" spans="1:28" s="42" customFormat="1" x14ac:dyDescent="0.6">
      <c r="A19" s="58">
        <v>1</v>
      </c>
      <c r="B19" s="104">
        <v>0</v>
      </c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</row>
  </sheetData>
  <mergeCells count="41">
    <mergeCell ref="A12:A13"/>
    <mergeCell ref="AA12:AA13"/>
    <mergeCell ref="AB12:AB13"/>
    <mergeCell ref="G12:G13"/>
    <mergeCell ref="H12:H13"/>
    <mergeCell ref="I12:K12"/>
    <mergeCell ref="L12:P12"/>
    <mergeCell ref="Q12:R12"/>
    <mergeCell ref="S12:S13"/>
    <mergeCell ref="A5:AB5"/>
    <mergeCell ref="A6:AB6"/>
    <mergeCell ref="A7:G7"/>
    <mergeCell ref="A8:E8"/>
    <mergeCell ref="A10:AB10"/>
    <mergeCell ref="A17:A18"/>
    <mergeCell ref="B17:B18"/>
    <mergeCell ref="C17:D17"/>
    <mergeCell ref="E17:E18"/>
    <mergeCell ref="F17:F18"/>
    <mergeCell ref="W12:X12"/>
    <mergeCell ref="W17:X17"/>
    <mergeCell ref="Y12:Z12"/>
    <mergeCell ref="Y17:Z17"/>
    <mergeCell ref="T17:T18"/>
    <mergeCell ref="U17:U18"/>
    <mergeCell ref="AA17:AA18"/>
    <mergeCell ref="AB17:AB18"/>
    <mergeCell ref="G17:G18"/>
    <mergeCell ref="H17:H18"/>
    <mergeCell ref="I17:K17"/>
    <mergeCell ref="L17:P17"/>
    <mergeCell ref="Q17:R17"/>
    <mergeCell ref="S17:S18"/>
    <mergeCell ref="V17:V18"/>
    <mergeCell ref="T12:T13"/>
    <mergeCell ref="U12:U13"/>
    <mergeCell ref="V12:V13"/>
    <mergeCell ref="B12:B13"/>
    <mergeCell ref="C12:D12"/>
    <mergeCell ref="E12:E13"/>
    <mergeCell ref="F12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ປະຫວັດຂໍມູນລະອຽດ</vt:lpstr>
      <vt:lpstr>ບັນດາພະແນກ</vt:lpstr>
      <vt:lpstr>ສະມາຊິກພັກ</vt:lpstr>
      <vt:lpstr>ລະດັບທິດສະດີ</vt:lpstr>
      <vt:lpstr>ອາຍຸການເລື່ອນຊັ້ນ</vt:lpstr>
      <vt:lpstr>ອາຍຸເຂົ້າການປະຕິວັດ</vt:lpstr>
      <vt:lpstr>ພ.ງ ເພີ່ມ ແລະ ຫຼຸຸດ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 Pro</dc:creator>
  <cp:lastModifiedBy>PGM LAOS</cp:lastModifiedBy>
  <dcterms:created xsi:type="dcterms:W3CDTF">2025-06-23T12:02:52Z</dcterms:created>
  <dcterms:modified xsi:type="dcterms:W3CDTF">2025-06-28T16:55:36Z</dcterms:modified>
</cp:coreProperties>
</file>